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30" yWindow="600" windowWidth="19440" windowHeight="11955" activeTab="1"/>
  </bookViews>
  <sheets>
    <sheet name="Clocks" sheetId="2" r:id="rId1"/>
    <sheet name="ADC DAC Matching" sheetId="5" r:id="rId2"/>
  </sheets>
  <definedNames>
    <definedName name="_xlnm._FilterDatabase" localSheetId="1" hidden="1">'ADC DAC Matching'!$C$5:$J$5</definedName>
    <definedName name="solver_adj" localSheetId="0" hidden="1">Clocks!$C$6,Clocks!$C$8,Clocks!$C$10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Clocks!$C$10</definedName>
    <definedName name="solver_lhs10" localSheetId="0" hidden="1">Clocks!$C$8</definedName>
    <definedName name="solver_lhs11" localSheetId="0" hidden="1">Clocks!$C$8</definedName>
    <definedName name="solver_lhs12" localSheetId="0" hidden="1">Clocks!$C$9</definedName>
    <definedName name="solver_lhs13" localSheetId="0" hidden="1">Clocks!$C$9</definedName>
    <definedName name="solver_lhs2" localSheetId="0" hidden="1">Clocks!$C$10</definedName>
    <definedName name="solver_lhs3" localSheetId="0" hidden="1">Clocks!$C$10</definedName>
    <definedName name="solver_lhs4" localSheetId="0" hidden="1">Clocks!$C$6</definedName>
    <definedName name="solver_lhs5" localSheetId="0" hidden="1">Clocks!$C$6</definedName>
    <definedName name="solver_lhs6" localSheetId="0" hidden="1">Clocks!$C$6</definedName>
    <definedName name="solver_lhs7" localSheetId="0" hidden="1">Clocks!$C$7</definedName>
    <definedName name="solver_lhs8" localSheetId="0" hidden="1">Clocks!$C$7</definedName>
    <definedName name="solver_lhs9" localSheetId="0" hidden="1">Clocks!$C$8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13</definedName>
    <definedName name="solver_nwt" localSheetId="0" hidden="1">1</definedName>
    <definedName name="solver_opt" localSheetId="0" hidden="1">Clocks!$C$11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4</definedName>
    <definedName name="solver_rel11" localSheetId="0" hidden="1">3</definedName>
    <definedName name="solver_rel12" localSheetId="0" hidden="1">1</definedName>
    <definedName name="solver_rel13" localSheetId="0" hidden="1">3</definedName>
    <definedName name="solver_rel2" localSheetId="0" hidden="1">4</definedName>
    <definedName name="solver_rel3" localSheetId="0" hidden="1">3</definedName>
    <definedName name="solver_rel4" localSheetId="0" hidden="1">1</definedName>
    <definedName name="solver_rel5" localSheetId="0" hidden="1">4</definedName>
    <definedName name="solver_rel6" localSheetId="0" hidden="1">3</definedName>
    <definedName name="solver_rel7" localSheetId="0" hidden="1">1</definedName>
    <definedName name="solver_rel8" localSheetId="0" hidden="1">3</definedName>
    <definedName name="solver_rel9" localSheetId="0" hidden="1">1</definedName>
    <definedName name="solver_rhs1" localSheetId="0" hidden="1">8</definedName>
    <definedName name="solver_rhs10" localSheetId="0" hidden="1">integer</definedName>
    <definedName name="solver_rhs11" localSheetId="0" hidden="1">2</definedName>
    <definedName name="solver_rhs12" localSheetId="0" hidden="1">200</definedName>
    <definedName name="solver_rhs13" localSheetId="0" hidden="1">100</definedName>
    <definedName name="solver_rhs2" localSheetId="0" hidden="1">integer</definedName>
    <definedName name="solver_rhs3" localSheetId="0" hidden="1">2</definedName>
    <definedName name="solver_rhs4" localSheetId="0" hidden="1">33</definedName>
    <definedName name="solver_rhs5" localSheetId="0" hidden="1">integer</definedName>
    <definedName name="solver_rhs6" localSheetId="0" hidden="1">2</definedName>
    <definedName name="solver_rhs7" localSheetId="0" hidden="1">8</definedName>
    <definedName name="solver_rhs8" localSheetId="0" hidden="1">0.8</definedName>
    <definedName name="solver_rhs9" localSheetId="0" hidden="1">513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80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J134" i="5" l="1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J593" i="5"/>
  <c r="J594" i="5"/>
  <c r="J595" i="5"/>
  <c r="J596" i="5"/>
  <c r="J597" i="5"/>
  <c r="J598" i="5"/>
  <c r="J599" i="5"/>
  <c r="J600" i="5"/>
  <c r="J601" i="5"/>
  <c r="J602" i="5"/>
  <c r="J603" i="5"/>
  <c r="J604" i="5"/>
  <c r="J605" i="5"/>
  <c r="J606" i="5"/>
  <c r="J607" i="5"/>
  <c r="J608" i="5"/>
  <c r="J609" i="5"/>
  <c r="J610" i="5"/>
  <c r="J611" i="5"/>
  <c r="J612" i="5"/>
  <c r="J613" i="5"/>
  <c r="J614" i="5"/>
  <c r="J615" i="5"/>
  <c r="J616" i="5"/>
  <c r="J617" i="5"/>
  <c r="J618" i="5"/>
  <c r="J619" i="5"/>
  <c r="J620" i="5"/>
  <c r="J621" i="5"/>
  <c r="J622" i="5"/>
  <c r="J623" i="5"/>
  <c r="J624" i="5"/>
  <c r="J625" i="5"/>
  <c r="J626" i="5"/>
  <c r="J627" i="5"/>
  <c r="J628" i="5"/>
  <c r="J629" i="5"/>
  <c r="J630" i="5"/>
  <c r="J631" i="5"/>
  <c r="J632" i="5"/>
  <c r="J633" i="5"/>
  <c r="J634" i="5"/>
  <c r="J635" i="5"/>
  <c r="J636" i="5"/>
  <c r="J637" i="5"/>
  <c r="J638" i="5"/>
  <c r="J639" i="5"/>
  <c r="J640" i="5"/>
  <c r="J641" i="5"/>
  <c r="J642" i="5"/>
  <c r="J643" i="5"/>
  <c r="J644" i="5"/>
  <c r="J645" i="5"/>
  <c r="J646" i="5"/>
  <c r="J647" i="5"/>
  <c r="J648" i="5"/>
  <c r="J649" i="5"/>
  <c r="J650" i="5"/>
  <c r="J651" i="5"/>
  <c r="J652" i="5"/>
  <c r="J653" i="5"/>
  <c r="J654" i="5"/>
  <c r="J655" i="5"/>
  <c r="J656" i="5"/>
  <c r="J657" i="5"/>
  <c r="J658" i="5"/>
  <c r="J659" i="5"/>
  <c r="J660" i="5"/>
  <c r="J661" i="5"/>
  <c r="J662" i="5"/>
  <c r="J663" i="5"/>
  <c r="J664" i="5"/>
  <c r="J665" i="5"/>
  <c r="J666" i="5"/>
  <c r="J667" i="5"/>
  <c r="J668" i="5"/>
  <c r="J669" i="5"/>
  <c r="J670" i="5"/>
  <c r="J671" i="5"/>
  <c r="J672" i="5"/>
  <c r="J673" i="5"/>
  <c r="J674" i="5"/>
  <c r="J675" i="5"/>
  <c r="J676" i="5"/>
  <c r="J677" i="5"/>
  <c r="J678" i="5"/>
  <c r="J679" i="5"/>
  <c r="J680" i="5"/>
  <c r="J681" i="5"/>
  <c r="J682" i="5"/>
  <c r="J683" i="5"/>
  <c r="J684" i="5"/>
  <c r="J685" i="5"/>
  <c r="J686" i="5"/>
  <c r="J687" i="5"/>
  <c r="J688" i="5"/>
  <c r="J689" i="5"/>
  <c r="J690" i="5"/>
  <c r="J691" i="5"/>
  <c r="J692" i="5"/>
  <c r="J693" i="5"/>
  <c r="J694" i="5"/>
  <c r="J695" i="5"/>
  <c r="J696" i="5"/>
  <c r="J697" i="5"/>
  <c r="J698" i="5"/>
  <c r="J699" i="5"/>
  <c r="J700" i="5"/>
  <c r="J701" i="5"/>
  <c r="J702" i="5"/>
  <c r="J703" i="5"/>
  <c r="J704" i="5"/>
  <c r="J705" i="5"/>
  <c r="J706" i="5"/>
  <c r="J707" i="5"/>
  <c r="J708" i="5"/>
  <c r="J709" i="5"/>
  <c r="J710" i="5"/>
  <c r="J711" i="5"/>
  <c r="J712" i="5"/>
  <c r="J713" i="5"/>
  <c r="J714" i="5"/>
  <c r="J715" i="5"/>
  <c r="J716" i="5"/>
  <c r="J717" i="5"/>
  <c r="J718" i="5"/>
  <c r="J719" i="5"/>
  <c r="J720" i="5"/>
  <c r="J721" i="5"/>
  <c r="J722" i="5"/>
  <c r="J723" i="5"/>
  <c r="J724" i="5"/>
  <c r="J725" i="5"/>
  <c r="J726" i="5"/>
  <c r="J727" i="5"/>
  <c r="J728" i="5"/>
  <c r="J729" i="5"/>
  <c r="J730" i="5"/>
  <c r="J731" i="5"/>
  <c r="J732" i="5"/>
  <c r="J733" i="5"/>
  <c r="J734" i="5"/>
  <c r="J735" i="5"/>
  <c r="J736" i="5"/>
  <c r="J737" i="5"/>
  <c r="J738" i="5"/>
  <c r="J739" i="5"/>
  <c r="J740" i="5"/>
  <c r="J741" i="5"/>
  <c r="J742" i="5"/>
  <c r="J743" i="5"/>
  <c r="J744" i="5"/>
  <c r="J745" i="5"/>
  <c r="J746" i="5"/>
  <c r="J747" i="5"/>
  <c r="J748" i="5"/>
  <c r="J749" i="5"/>
  <c r="J750" i="5"/>
  <c r="J751" i="5"/>
  <c r="J752" i="5"/>
  <c r="J753" i="5"/>
  <c r="J754" i="5"/>
  <c r="J755" i="5"/>
  <c r="J756" i="5"/>
  <c r="J757" i="5"/>
  <c r="J758" i="5"/>
  <c r="J759" i="5"/>
  <c r="J760" i="5"/>
  <c r="J761" i="5"/>
  <c r="J762" i="5"/>
  <c r="J763" i="5"/>
  <c r="J764" i="5"/>
  <c r="J765" i="5"/>
  <c r="J766" i="5"/>
  <c r="J767" i="5"/>
  <c r="J768" i="5"/>
  <c r="J769" i="5"/>
  <c r="J770" i="5"/>
  <c r="J771" i="5"/>
  <c r="J772" i="5"/>
  <c r="J773" i="5"/>
  <c r="J774" i="5"/>
  <c r="J775" i="5"/>
  <c r="J776" i="5"/>
  <c r="J777" i="5"/>
  <c r="J778" i="5"/>
  <c r="J779" i="5"/>
  <c r="J780" i="5"/>
  <c r="J781" i="5"/>
  <c r="J782" i="5"/>
  <c r="J783" i="5"/>
  <c r="J784" i="5"/>
  <c r="J785" i="5"/>
  <c r="J786" i="5"/>
  <c r="J787" i="5"/>
  <c r="J788" i="5"/>
  <c r="J789" i="5"/>
  <c r="J790" i="5"/>
  <c r="J791" i="5"/>
  <c r="J792" i="5"/>
  <c r="J793" i="5"/>
  <c r="J794" i="5"/>
  <c r="J795" i="5"/>
  <c r="J796" i="5"/>
  <c r="J797" i="5"/>
  <c r="J798" i="5"/>
  <c r="J799" i="5"/>
  <c r="J800" i="5"/>
  <c r="J801" i="5"/>
  <c r="J802" i="5"/>
  <c r="J803" i="5"/>
  <c r="J804" i="5"/>
  <c r="J805" i="5"/>
  <c r="J806" i="5"/>
  <c r="J807" i="5"/>
  <c r="J808" i="5"/>
  <c r="J809" i="5"/>
  <c r="J810" i="5"/>
  <c r="J811" i="5"/>
  <c r="J812" i="5"/>
  <c r="J813" i="5"/>
  <c r="J814" i="5"/>
  <c r="J815" i="5"/>
  <c r="J816" i="5"/>
  <c r="J817" i="5"/>
  <c r="J818" i="5"/>
  <c r="J819" i="5"/>
  <c r="J820" i="5"/>
  <c r="J821" i="5"/>
  <c r="J822" i="5"/>
  <c r="J823" i="5"/>
  <c r="J824" i="5"/>
  <c r="J825" i="5"/>
  <c r="J826" i="5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J890" i="5"/>
  <c r="J891" i="5"/>
  <c r="J892" i="5"/>
  <c r="J893" i="5"/>
  <c r="J894" i="5"/>
  <c r="J895" i="5"/>
  <c r="J896" i="5"/>
  <c r="J897" i="5"/>
  <c r="J898" i="5"/>
  <c r="J899" i="5"/>
  <c r="J900" i="5"/>
  <c r="J901" i="5"/>
  <c r="J902" i="5"/>
  <c r="J903" i="5"/>
  <c r="J904" i="5"/>
  <c r="J905" i="5"/>
  <c r="J906" i="5"/>
  <c r="J907" i="5"/>
  <c r="J908" i="5"/>
  <c r="J909" i="5"/>
  <c r="J910" i="5"/>
  <c r="J911" i="5"/>
  <c r="J912" i="5"/>
  <c r="J913" i="5"/>
  <c r="J914" i="5"/>
  <c r="J915" i="5"/>
  <c r="J916" i="5"/>
  <c r="J917" i="5"/>
  <c r="J918" i="5"/>
  <c r="J919" i="5"/>
  <c r="J920" i="5"/>
  <c r="J921" i="5"/>
  <c r="J922" i="5"/>
  <c r="J923" i="5"/>
  <c r="J924" i="5"/>
  <c r="J925" i="5"/>
  <c r="J926" i="5"/>
  <c r="J927" i="5"/>
  <c r="J928" i="5"/>
  <c r="J929" i="5"/>
  <c r="J930" i="5"/>
  <c r="J931" i="5"/>
  <c r="J932" i="5"/>
  <c r="J933" i="5"/>
  <c r="J934" i="5"/>
  <c r="J935" i="5"/>
  <c r="J936" i="5"/>
  <c r="J937" i="5"/>
  <c r="J938" i="5"/>
  <c r="J939" i="5"/>
  <c r="J940" i="5"/>
  <c r="J941" i="5"/>
  <c r="J942" i="5"/>
  <c r="J943" i="5"/>
  <c r="J944" i="5"/>
  <c r="J945" i="5"/>
  <c r="J946" i="5"/>
  <c r="J947" i="5"/>
  <c r="J948" i="5"/>
  <c r="J949" i="5"/>
  <c r="J950" i="5"/>
  <c r="J951" i="5"/>
  <c r="J952" i="5"/>
  <c r="J953" i="5"/>
  <c r="J954" i="5"/>
  <c r="J955" i="5"/>
  <c r="J956" i="5"/>
  <c r="J957" i="5"/>
  <c r="J958" i="5"/>
  <c r="J959" i="5"/>
  <c r="J960" i="5"/>
  <c r="J961" i="5"/>
  <c r="J962" i="5"/>
  <c r="J963" i="5"/>
  <c r="J964" i="5"/>
  <c r="J965" i="5"/>
  <c r="J966" i="5"/>
  <c r="J967" i="5"/>
  <c r="J968" i="5"/>
  <c r="J969" i="5"/>
  <c r="J970" i="5"/>
  <c r="J971" i="5"/>
  <c r="J972" i="5"/>
  <c r="J973" i="5"/>
  <c r="J974" i="5"/>
  <c r="J975" i="5"/>
  <c r="J976" i="5"/>
  <c r="J977" i="5"/>
  <c r="J978" i="5"/>
  <c r="J979" i="5"/>
  <c r="J980" i="5"/>
  <c r="J981" i="5"/>
  <c r="J982" i="5"/>
  <c r="J983" i="5"/>
  <c r="J984" i="5"/>
  <c r="J985" i="5"/>
  <c r="J986" i="5"/>
  <c r="J987" i="5"/>
  <c r="J988" i="5"/>
  <c r="J989" i="5"/>
  <c r="J990" i="5"/>
  <c r="J991" i="5"/>
  <c r="J992" i="5"/>
  <c r="J993" i="5"/>
  <c r="J994" i="5"/>
  <c r="J995" i="5"/>
  <c r="J996" i="5"/>
  <c r="J997" i="5"/>
  <c r="J998" i="5"/>
  <c r="J999" i="5"/>
  <c r="J1000" i="5"/>
  <c r="J1001" i="5"/>
  <c r="J1002" i="5"/>
  <c r="J1003" i="5"/>
  <c r="J1004" i="5"/>
  <c r="J1005" i="5"/>
  <c r="J1006" i="5"/>
  <c r="J1007" i="5"/>
  <c r="J1008" i="5"/>
  <c r="J1009" i="5"/>
  <c r="J1010" i="5"/>
  <c r="J1011" i="5"/>
  <c r="J1012" i="5"/>
  <c r="J1013" i="5"/>
  <c r="J1014" i="5"/>
  <c r="J1015" i="5"/>
  <c r="J1016" i="5"/>
  <c r="J1017" i="5"/>
  <c r="J1018" i="5"/>
  <c r="J1019" i="5"/>
  <c r="J1020" i="5"/>
  <c r="J1021" i="5"/>
  <c r="J1022" i="5"/>
  <c r="J1023" i="5"/>
  <c r="J1024" i="5"/>
  <c r="J1025" i="5"/>
  <c r="J1026" i="5"/>
  <c r="J1027" i="5"/>
  <c r="J1028" i="5"/>
  <c r="J1029" i="5"/>
  <c r="J1030" i="5"/>
  <c r="J1031" i="5"/>
  <c r="J1032" i="5"/>
  <c r="J1033" i="5"/>
  <c r="J1034" i="5"/>
  <c r="J1035" i="5"/>
  <c r="J1036" i="5"/>
  <c r="J1037" i="5"/>
  <c r="J1038" i="5"/>
  <c r="J1039" i="5"/>
  <c r="J1040" i="5"/>
  <c r="J1041" i="5"/>
  <c r="J1042" i="5"/>
  <c r="J1043" i="5"/>
  <c r="J1044" i="5"/>
  <c r="J1045" i="5"/>
  <c r="J1046" i="5"/>
  <c r="J1047" i="5"/>
  <c r="J1048" i="5"/>
  <c r="J1049" i="5"/>
  <c r="J1050" i="5"/>
  <c r="J1051" i="5"/>
  <c r="J1052" i="5"/>
  <c r="J1053" i="5"/>
  <c r="J1054" i="5"/>
  <c r="J1055" i="5"/>
  <c r="J1056" i="5"/>
  <c r="J1057" i="5"/>
  <c r="J1058" i="5"/>
  <c r="J1059" i="5"/>
  <c r="J1060" i="5"/>
  <c r="J1061" i="5"/>
  <c r="J1062" i="5"/>
  <c r="J1063" i="5"/>
  <c r="J1064" i="5"/>
  <c r="J1065" i="5"/>
  <c r="J1066" i="5"/>
  <c r="J1067" i="5"/>
  <c r="J1068" i="5"/>
  <c r="J1069" i="5"/>
  <c r="J1070" i="5"/>
  <c r="J1071" i="5"/>
  <c r="J1072" i="5"/>
  <c r="J1073" i="5"/>
  <c r="J1074" i="5"/>
  <c r="J1075" i="5"/>
  <c r="J1076" i="5"/>
  <c r="J1077" i="5"/>
  <c r="J1078" i="5"/>
  <c r="J1079" i="5"/>
  <c r="J1080" i="5"/>
  <c r="J1081" i="5"/>
  <c r="J1082" i="5"/>
  <c r="J1083" i="5"/>
  <c r="J1084" i="5"/>
  <c r="J1085" i="5"/>
  <c r="J1086" i="5"/>
  <c r="J1087" i="5"/>
  <c r="J1088" i="5"/>
  <c r="J1089" i="5"/>
  <c r="J1090" i="5"/>
  <c r="J1091" i="5"/>
  <c r="J1092" i="5"/>
  <c r="J1093" i="5"/>
  <c r="J1094" i="5"/>
  <c r="J1095" i="5"/>
  <c r="J1096" i="5"/>
  <c r="J1097" i="5"/>
  <c r="J1098" i="5"/>
  <c r="J1099" i="5"/>
  <c r="J1100" i="5"/>
  <c r="J1101" i="5"/>
  <c r="J1102" i="5"/>
  <c r="J1103" i="5"/>
  <c r="J1104" i="5"/>
  <c r="J1105" i="5"/>
  <c r="J1106" i="5"/>
  <c r="J1107" i="5"/>
  <c r="J1108" i="5"/>
  <c r="J1109" i="5"/>
  <c r="J1110" i="5"/>
  <c r="J1111" i="5"/>
  <c r="J1112" i="5"/>
  <c r="J1113" i="5"/>
  <c r="J1114" i="5"/>
  <c r="J1115" i="5"/>
  <c r="J1116" i="5"/>
  <c r="J1117" i="5"/>
  <c r="J1118" i="5"/>
  <c r="J1119" i="5"/>
  <c r="J1120" i="5"/>
  <c r="J1121" i="5"/>
  <c r="J1122" i="5"/>
  <c r="J1123" i="5"/>
  <c r="J1124" i="5"/>
  <c r="J1125" i="5"/>
  <c r="J1126" i="5"/>
  <c r="J1127" i="5"/>
  <c r="J1128" i="5"/>
  <c r="J1129" i="5"/>
  <c r="J1130" i="5"/>
  <c r="J1131" i="5"/>
  <c r="J1132" i="5"/>
  <c r="J1133" i="5"/>
  <c r="J1134" i="5"/>
  <c r="J1135" i="5"/>
  <c r="J1136" i="5"/>
  <c r="J1137" i="5"/>
  <c r="J1138" i="5"/>
  <c r="J1139" i="5"/>
  <c r="J1140" i="5"/>
  <c r="J1141" i="5"/>
  <c r="J1142" i="5"/>
  <c r="J1143" i="5"/>
  <c r="J1144" i="5"/>
  <c r="J1145" i="5"/>
  <c r="J1146" i="5"/>
  <c r="J1147" i="5"/>
  <c r="J1148" i="5"/>
  <c r="J1149" i="5"/>
  <c r="J1150" i="5"/>
  <c r="J1151" i="5"/>
  <c r="J1152" i="5"/>
  <c r="J1153" i="5"/>
  <c r="J1154" i="5"/>
  <c r="J1155" i="5"/>
  <c r="J1156" i="5"/>
  <c r="J1157" i="5"/>
  <c r="J1158" i="5"/>
  <c r="J1159" i="5"/>
  <c r="J1160" i="5"/>
  <c r="J1161" i="5"/>
  <c r="J1162" i="5"/>
  <c r="J1163" i="5"/>
  <c r="J1164" i="5"/>
  <c r="J1165" i="5"/>
  <c r="J1166" i="5"/>
  <c r="J1167" i="5"/>
  <c r="J1168" i="5"/>
  <c r="J1169" i="5"/>
  <c r="J1170" i="5"/>
  <c r="J1171" i="5"/>
  <c r="J1172" i="5"/>
  <c r="J1173" i="5"/>
  <c r="J1174" i="5"/>
  <c r="J1175" i="5"/>
  <c r="J1176" i="5"/>
  <c r="J1177" i="5"/>
  <c r="J1178" i="5"/>
  <c r="J1179" i="5"/>
  <c r="J1180" i="5"/>
  <c r="J1181" i="5"/>
  <c r="J1182" i="5"/>
  <c r="J1183" i="5"/>
  <c r="J1184" i="5"/>
  <c r="J1185" i="5"/>
  <c r="J1186" i="5"/>
  <c r="J1187" i="5"/>
  <c r="J1188" i="5"/>
  <c r="J1189" i="5"/>
  <c r="J1190" i="5"/>
  <c r="J1191" i="5"/>
  <c r="J1192" i="5"/>
  <c r="J1193" i="5"/>
  <c r="J1194" i="5"/>
  <c r="J1195" i="5"/>
  <c r="J1196" i="5"/>
  <c r="J1197" i="5"/>
  <c r="J1198" i="5"/>
  <c r="J1199" i="5"/>
  <c r="J1200" i="5"/>
  <c r="J1201" i="5"/>
  <c r="J1202" i="5"/>
  <c r="J1203" i="5"/>
  <c r="J1204" i="5"/>
  <c r="J1205" i="5"/>
  <c r="J1206" i="5"/>
  <c r="J1207" i="5"/>
  <c r="J1208" i="5"/>
  <c r="J1209" i="5"/>
  <c r="J1210" i="5"/>
  <c r="J1211" i="5"/>
  <c r="J1212" i="5"/>
  <c r="J1213" i="5"/>
  <c r="J1214" i="5"/>
  <c r="J1215" i="5"/>
  <c r="J1216" i="5"/>
  <c r="J1217" i="5"/>
  <c r="J1218" i="5"/>
  <c r="J1219" i="5"/>
  <c r="J1220" i="5"/>
  <c r="J1221" i="5"/>
  <c r="J1222" i="5"/>
  <c r="J1223" i="5"/>
  <c r="J1224" i="5"/>
  <c r="J1225" i="5"/>
  <c r="J1226" i="5"/>
  <c r="J1227" i="5"/>
  <c r="J1228" i="5"/>
  <c r="J1229" i="5"/>
  <c r="J1230" i="5"/>
  <c r="J1231" i="5"/>
  <c r="J1232" i="5"/>
  <c r="J1233" i="5"/>
  <c r="J1234" i="5"/>
  <c r="J1235" i="5"/>
  <c r="J1236" i="5"/>
  <c r="J1237" i="5"/>
  <c r="J1238" i="5"/>
  <c r="J1239" i="5"/>
  <c r="J1240" i="5"/>
  <c r="J1241" i="5"/>
  <c r="J1242" i="5"/>
  <c r="J1243" i="5"/>
  <c r="J1244" i="5"/>
  <c r="J1245" i="5"/>
  <c r="J1246" i="5"/>
  <c r="J1247" i="5"/>
  <c r="J1248" i="5"/>
  <c r="J1249" i="5"/>
  <c r="J1250" i="5"/>
  <c r="J1251" i="5"/>
  <c r="J1252" i="5"/>
  <c r="J1253" i="5"/>
  <c r="J1254" i="5"/>
  <c r="J1255" i="5"/>
  <c r="J1256" i="5"/>
  <c r="J1257" i="5"/>
  <c r="J1258" i="5"/>
  <c r="J1259" i="5"/>
  <c r="J1260" i="5"/>
  <c r="J1261" i="5"/>
  <c r="J1262" i="5"/>
  <c r="J1263" i="5"/>
  <c r="J1264" i="5"/>
  <c r="J1265" i="5"/>
  <c r="J1266" i="5"/>
  <c r="J1267" i="5"/>
  <c r="J1268" i="5"/>
  <c r="J1269" i="5"/>
  <c r="J1270" i="5"/>
  <c r="J1271" i="5"/>
  <c r="J1272" i="5"/>
  <c r="J1273" i="5"/>
  <c r="J1274" i="5"/>
  <c r="J1275" i="5"/>
  <c r="J1276" i="5"/>
  <c r="J1277" i="5"/>
  <c r="J1278" i="5"/>
  <c r="J1279" i="5"/>
  <c r="J1280" i="5"/>
  <c r="J1281" i="5"/>
  <c r="J1282" i="5"/>
  <c r="J1283" i="5"/>
  <c r="J1284" i="5"/>
  <c r="J1285" i="5"/>
  <c r="J1286" i="5"/>
  <c r="J1287" i="5"/>
  <c r="J1288" i="5"/>
  <c r="J1289" i="5"/>
  <c r="J1290" i="5"/>
  <c r="J1291" i="5"/>
  <c r="J1292" i="5"/>
  <c r="J1293" i="5"/>
  <c r="J1294" i="5"/>
  <c r="J1295" i="5"/>
  <c r="J1296" i="5"/>
  <c r="J1297" i="5"/>
  <c r="J1298" i="5"/>
  <c r="J1299" i="5"/>
  <c r="J1300" i="5"/>
  <c r="J1301" i="5"/>
  <c r="J1302" i="5"/>
  <c r="J1303" i="5"/>
  <c r="J1304" i="5"/>
  <c r="J1305" i="5"/>
  <c r="J1306" i="5"/>
  <c r="J1307" i="5"/>
  <c r="J1308" i="5"/>
  <c r="J1309" i="5"/>
  <c r="J1310" i="5"/>
  <c r="J1311" i="5"/>
  <c r="J1312" i="5"/>
  <c r="J1313" i="5"/>
  <c r="J1314" i="5"/>
  <c r="J1315" i="5"/>
  <c r="J1316" i="5"/>
  <c r="J1317" i="5"/>
  <c r="J1318" i="5"/>
  <c r="J1319" i="5"/>
  <c r="J1320" i="5"/>
  <c r="J1321" i="5"/>
  <c r="J1322" i="5"/>
  <c r="J1323" i="5"/>
  <c r="J1324" i="5"/>
  <c r="J1325" i="5"/>
  <c r="J1326" i="5"/>
  <c r="J1327" i="5"/>
  <c r="J1328" i="5"/>
  <c r="J1329" i="5"/>
  <c r="J1330" i="5"/>
  <c r="J1331" i="5"/>
  <c r="J1332" i="5"/>
  <c r="J1333" i="5"/>
  <c r="J1334" i="5"/>
  <c r="J1335" i="5"/>
  <c r="J1336" i="5"/>
  <c r="J1337" i="5"/>
  <c r="J1338" i="5"/>
  <c r="J1339" i="5"/>
  <c r="J1340" i="5"/>
  <c r="J1341" i="5"/>
  <c r="J1342" i="5"/>
  <c r="J1343" i="5"/>
  <c r="J1344" i="5"/>
  <c r="J1345" i="5"/>
  <c r="J1346" i="5"/>
  <c r="J1347" i="5"/>
  <c r="J1348" i="5"/>
  <c r="J1349" i="5"/>
  <c r="J1350" i="5"/>
  <c r="J1351" i="5"/>
  <c r="J1352" i="5"/>
  <c r="J1353" i="5"/>
  <c r="J1354" i="5"/>
  <c r="J1355" i="5"/>
  <c r="J1356" i="5"/>
  <c r="J1357" i="5"/>
  <c r="J1358" i="5"/>
  <c r="J1359" i="5"/>
  <c r="J1360" i="5"/>
  <c r="J1361" i="5"/>
  <c r="J1362" i="5"/>
  <c r="J1363" i="5"/>
  <c r="J1364" i="5"/>
  <c r="J1365" i="5"/>
  <c r="J1366" i="5"/>
  <c r="J1367" i="5"/>
  <c r="J1368" i="5"/>
  <c r="J1369" i="5"/>
  <c r="J1370" i="5"/>
  <c r="J1371" i="5"/>
  <c r="J1372" i="5"/>
  <c r="J1373" i="5"/>
  <c r="J1374" i="5"/>
  <c r="J1375" i="5"/>
  <c r="J1376" i="5"/>
  <c r="J1377" i="5"/>
  <c r="J1378" i="5"/>
  <c r="J1379" i="5"/>
  <c r="J1380" i="5"/>
  <c r="J1381" i="5"/>
  <c r="J1382" i="5"/>
  <c r="J1383" i="5"/>
  <c r="J1384" i="5"/>
  <c r="J1385" i="5"/>
  <c r="J1386" i="5"/>
  <c r="J1387" i="5"/>
  <c r="J1388" i="5"/>
  <c r="J1389" i="5"/>
  <c r="J1390" i="5"/>
  <c r="J1391" i="5"/>
  <c r="J1392" i="5"/>
  <c r="J1393" i="5"/>
  <c r="J1394" i="5"/>
  <c r="J1395" i="5"/>
  <c r="J1396" i="5"/>
  <c r="J1397" i="5"/>
  <c r="J1398" i="5"/>
  <c r="J1399" i="5"/>
  <c r="J1400" i="5"/>
  <c r="J1401" i="5"/>
  <c r="J1402" i="5"/>
  <c r="J1403" i="5"/>
  <c r="J1404" i="5"/>
  <c r="J1405" i="5"/>
  <c r="J1406" i="5"/>
  <c r="J1407" i="5"/>
  <c r="J1408" i="5"/>
  <c r="J1409" i="5"/>
  <c r="J1410" i="5"/>
  <c r="J1411" i="5"/>
  <c r="J1412" i="5"/>
  <c r="J1413" i="5"/>
  <c r="J1414" i="5"/>
  <c r="J1415" i="5"/>
  <c r="J1416" i="5"/>
  <c r="J1417" i="5"/>
  <c r="J1418" i="5"/>
  <c r="J1419" i="5"/>
  <c r="J1420" i="5"/>
  <c r="J1421" i="5"/>
  <c r="J1422" i="5"/>
  <c r="J1423" i="5"/>
  <c r="J1424" i="5"/>
  <c r="J1425" i="5"/>
  <c r="J1426" i="5"/>
  <c r="J1427" i="5"/>
  <c r="J1428" i="5"/>
  <c r="J1429" i="5"/>
  <c r="J1430" i="5"/>
  <c r="J1431" i="5"/>
  <c r="J1432" i="5"/>
  <c r="J1433" i="5"/>
  <c r="J1434" i="5"/>
  <c r="J1435" i="5"/>
  <c r="J1436" i="5"/>
  <c r="J1437" i="5"/>
  <c r="J1438" i="5"/>
  <c r="J1439" i="5"/>
  <c r="J1440" i="5"/>
  <c r="J1441" i="5"/>
  <c r="J1442" i="5"/>
  <c r="J1443" i="5"/>
  <c r="J1444" i="5"/>
  <c r="J1445" i="5"/>
  <c r="J1446" i="5"/>
  <c r="J1447" i="5"/>
  <c r="J1448" i="5"/>
  <c r="J1449" i="5"/>
  <c r="J1450" i="5"/>
  <c r="J1451" i="5"/>
  <c r="J1452" i="5"/>
  <c r="J1453" i="5"/>
  <c r="J1454" i="5"/>
  <c r="J1455" i="5"/>
  <c r="J1456" i="5"/>
  <c r="J1457" i="5"/>
  <c r="J1458" i="5"/>
  <c r="J1459" i="5"/>
  <c r="J1460" i="5"/>
  <c r="J1461" i="5"/>
  <c r="J1462" i="5"/>
  <c r="J1463" i="5"/>
  <c r="J1464" i="5"/>
  <c r="J1465" i="5"/>
  <c r="J1466" i="5"/>
  <c r="J1467" i="5"/>
  <c r="J1468" i="5"/>
  <c r="J1469" i="5"/>
  <c r="J1470" i="5"/>
  <c r="J1471" i="5"/>
  <c r="J1472" i="5"/>
  <c r="J1473" i="5"/>
  <c r="J1474" i="5"/>
  <c r="J1475" i="5"/>
  <c r="J1476" i="5"/>
  <c r="J1477" i="5"/>
  <c r="J1478" i="5"/>
  <c r="J1479" i="5"/>
  <c r="J1480" i="5"/>
  <c r="J1481" i="5"/>
  <c r="J1482" i="5"/>
  <c r="J1483" i="5"/>
  <c r="J1484" i="5"/>
  <c r="J1485" i="5"/>
  <c r="J1486" i="5"/>
  <c r="J1487" i="5"/>
  <c r="J1488" i="5"/>
  <c r="J1489" i="5"/>
  <c r="J1490" i="5"/>
  <c r="J1491" i="5"/>
  <c r="J1492" i="5"/>
  <c r="J1493" i="5"/>
  <c r="J1494" i="5"/>
  <c r="J1495" i="5"/>
  <c r="J1496" i="5"/>
  <c r="J1497" i="5"/>
  <c r="J1498" i="5"/>
  <c r="J1499" i="5"/>
  <c r="J1500" i="5"/>
  <c r="J1501" i="5"/>
  <c r="J1502" i="5"/>
  <c r="J1503" i="5"/>
  <c r="J1504" i="5"/>
  <c r="J1505" i="5"/>
  <c r="J1506" i="5"/>
  <c r="J1507" i="5"/>
  <c r="J1508" i="5"/>
  <c r="J1509" i="5"/>
  <c r="J1510" i="5"/>
  <c r="J1511" i="5"/>
  <c r="J1512" i="5"/>
  <c r="J1513" i="5"/>
  <c r="J1514" i="5"/>
  <c r="J1515" i="5"/>
  <c r="J1516" i="5"/>
  <c r="J1517" i="5"/>
  <c r="J1518" i="5"/>
  <c r="J1519" i="5"/>
  <c r="J1520" i="5"/>
  <c r="J1521" i="5"/>
  <c r="J1522" i="5"/>
  <c r="J1523" i="5"/>
  <c r="J1524" i="5"/>
  <c r="J1525" i="5"/>
  <c r="J1526" i="5"/>
  <c r="J1527" i="5"/>
  <c r="J1528" i="5"/>
  <c r="J1529" i="5"/>
  <c r="J1530" i="5"/>
  <c r="J1531" i="5"/>
  <c r="J1532" i="5"/>
  <c r="J1533" i="5"/>
  <c r="J1534" i="5"/>
  <c r="J1535" i="5"/>
  <c r="J1536" i="5"/>
  <c r="J1537" i="5"/>
  <c r="J1538" i="5"/>
  <c r="J1539" i="5"/>
  <c r="J1540" i="5"/>
  <c r="J1541" i="5"/>
  <c r="J1542" i="5"/>
  <c r="J1543" i="5"/>
  <c r="J1544" i="5"/>
  <c r="J1545" i="5"/>
  <c r="J1546" i="5"/>
  <c r="J1547" i="5"/>
  <c r="J1548" i="5"/>
  <c r="J1549" i="5"/>
  <c r="J1550" i="5"/>
  <c r="J1551" i="5"/>
  <c r="J1552" i="5"/>
  <c r="J1553" i="5"/>
  <c r="J1554" i="5"/>
  <c r="J1555" i="5"/>
  <c r="J1556" i="5"/>
  <c r="J1557" i="5"/>
  <c r="J1558" i="5"/>
  <c r="J1559" i="5"/>
  <c r="J1560" i="5"/>
  <c r="J1561" i="5"/>
  <c r="J1562" i="5"/>
  <c r="J1563" i="5"/>
  <c r="J1564" i="5"/>
  <c r="J1565" i="5"/>
  <c r="J1566" i="5"/>
  <c r="J1567" i="5"/>
  <c r="J1568" i="5"/>
  <c r="J1569" i="5"/>
  <c r="J1570" i="5"/>
  <c r="J1571" i="5"/>
  <c r="J1572" i="5"/>
  <c r="J1573" i="5"/>
  <c r="J1574" i="5"/>
  <c r="J1575" i="5"/>
  <c r="J1576" i="5"/>
  <c r="J1577" i="5"/>
  <c r="J1578" i="5"/>
  <c r="J1579" i="5"/>
  <c r="J1580" i="5"/>
  <c r="J1581" i="5"/>
  <c r="J1582" i="5"/>
  <c r="J1583" i="5"/>
  <c r="J1584" i="5"/>
  <c r="J1585" i="5"/>
  <c r="J1586" i="5"/>
  <c r="J1587" i="5"/>
  <c r="J1588" i="5"/>
  <c r="J1589" i="5"/>
  <c r="J1590" i="5"/>
  <c r="J1591" i="5"/>
  <c r="J1592" i="5"/>
  <c r="J1593" i="5"/>
  <c r="J1594" i="5"/>
  <c r="J1595" i="5"/>
  <c r="J1596" i="5"/>
  <c r="J1597" i="5"/>
  <c r="J1598" i="5"/>
  <c r="J1599" i="5"/>
  <c r="J1600" i="5"/>
  <c r="J1601" i="5"/>
  <c r="J1602" i="5"/>
  <c r="J1603" i="5"/>
  <c r="J1604" i="5"/>
  <c r="J1605" i="5"/>
  <c r="J1606" i="5"/>
  <c r="J1607" i="5"/>
  <c r="J1608" i="5"/>
  <c r="J1609" i="5"/>
  <c r="J1610" i="5"/>
  <c r="J1611" i="5"/>
  <c r="J1612" i="5"/>
  <c r="J1613" i="5"/>
  <c r="J1614" i="5"/>
  <c r="J1615" i="5"/>
  <c r="J1616" i="5"/>
  <c r="J1617" i="5"/>
  <c r="J1618" i="5"/>
  <c r="J1619" i="5"/>
  <c r="J1620" i="5"/>
  <c r="J1621" i="5"/>
  <c r="J1622" i="5"/>
  <c r="J1623" i="5"/>
  <c r="J1624" i="5"/>
  <c r="J1625" i="5"/>
  <c r="J1626" i="5"/>
  <c r="J1627" i="5"/>
  <c r="J1628" i="5"/>
  <c r="J1629" i="5"/>
  <c r="J1630" i="5"/>
  <c r="J1631" i="5"/>
  <c r="J1632" i="5"/>
  <c r="J1633" i="5"/>
  <c r="J1634" i="5"/>
  <c r="J1635" i="5"/>
  <c r="J1636" i="5"/>
  <c r="J1637" i="5"/>
  <c r="J1638" i="5"/>
  <c r="J1639" i="5"/>
  <c r="J1640" i="5"/>
  <c r="J1641" i="5"/>
  <c r="J1642" i="5"/>
  <c r="J1643" i="5"/>
  <c r="J1644" i="5"/>
  <c r="J1645" i="5"/>
  <c r="J1646" i="5"/>
  <c r="J1647" i="5"/>
  <c r="J1648" i="5"/>
  <c r="J1649" i="5"/>
  <c r="J1650" i="5"/>
  <c r="J1651" i="5"/>
  <c r="J1652" i="5"/>
  <c r="J1653" i="5"/>
  <c r="J1654" i="5"/>
  <c r="J1655" i="5"/>
  <c r="J1656" i="5"/>
  <c r="J1657" i="5"/>
  <c r="J1658" i="5"/>
  <c r="J1659" i="5"/>
  <c r="J1660" i="5"/>
  <c r="J1661" i="5"/>
  <c r="J1662" i="5"/>
  <c r="J1663" i="5"/>
  <c r="J1664" i="5"/>
  <c r="J1665" i="5"/>
  <c r="J1666" i="5"/>
  <c r="J1667" i="5"/>
  <c r="J1668" i="5"/>
  <c r="J1669" i="5"/>
  <c r="J1670" i="5"/>
  <c r="J1671" i="5"/>
  <c r="J1672" i="5"/>
  <c r="J1673" i="5"/>
  <c r="J1674" i="5"/>
  <c r="J1675" i="5"/>
  <c r="J1676" i="5"/>
  <c r="J1677" i="5"/>
  <c r="J1678" i="5"/>
  <c r="J1679" i="5"/>
  <c r="J1680" i="5"/>
  <c r="J1681" i="5"/>
  <c r="J1682" i="5"/>
  <c r="J1683" i="5"/>
  <c r="J1684" i="5"/>
  <c r="J1685" i="5"/>
  <c r="J1686" i="5"/>
  <c r="J1687" i="5"/>
  <c r="J1688" i="5"/>
  <c r="J1689" i="5"/>
  <c r="J1690" i="5"/>
  <c r="J1691" i="5"/>
  <c r="J1692" i="5"/>
  <c r="J1693" i="5"/>
  <c r="J1694" i="5"/>
  <c r="J1695" i="5"/>
  <c r="J1696" i="5"/>
  <c r="J1697" i="5"/>
  <c r="J1698" i="5"/>
  <c r="J1699" i="5"/>
  <c r="J1700" i="5"/>
  <c r="J1701" i="5"/>
  <c r="J1702" i="5"/>
  <c r="J1703" i="5"/>
  <c r="J1704" i="5"/>
  <c r="J1705" i="5"/>
  <c r="J1706" i="5"/>
  <c r="J1707" i="5"/>
  <c r="J1708" i="5"/>
  <c r="J1709" i="5"/>
  <c r="J1710" i="5"/>
  <c r="J1711" i="5"/>
  <c r="J1712" i="5"/>
  <c r="J1713" i="5"/>
  <c r="J1714" i="5"/>
  <c r="J1715" i="5"/>
  <c r="J1716" i="5"/>
  <c r="J1717" i="5"/>
  <c r="J1718" i="5"/>
  <c r="J1719" i="5"/>
  <c r="J1720" i="5"/>
  <c r="J1721" i="5"/>
  <c r="J1722" i="5"/>
  <c r="J1723" i="5"/>
  <c r="J1724" i="5"/>
  <c r="J1725" i="5"/>
  <c r="J1726" i="5"/>
  <c r="J1727" i="5"/>
  <c r="J1728" i="5"/>
  <c r="J1729" i="5"/>
  <c r="J1730" i="5"/>
  <c r="J1731" i="5"/>
  <c r="J1732" i="5"/>
  <c r="J1733" i="5"/>
  <c r="J1734" i="5"/>
  <c r="J1735" i="5"/>
  <c r="J1736" i="5"/>
  <c r="J1737" i="5"/>
  <c r="J1738" i="5"/>
  <c r="J1739" i="5"/>
  <c r="J1740" i="5"/>
  <c r="J1741" i="5"/>
  <c r="J1742" i="5"/>
  <c r="J1743" i="5"/>
  <c r="J1744" i="5"/>
  <c r="J1745" i="5"/>
  <c r="J1746" i="5"/>
  <c r="J1747" i="5"/>
  <c r="J1748" i="5"/>
  <c r="J1749" i="5"/>
  <c r="J1750" i="5"/>
  <c r="J1751" i="5"/>
  <c r="J1752" i="5"/>
  <c r="J1753" i="5"/>
  <c r="J1754" i="5"/>
  <c r="J1755" i="5"/>
  <c r="J1756" i="5"/>
  <c r="J1757" i="5"/>
  <c r="J1758" i="5"/>
  <c r="J1759" i="5"/>
  <c r="J1760" i="5"/>
  <c r="J1761" i="5"/>
  <c r="J1762" i="5"/>
  <c r="J1763" i="5"/>
  <c r="J1764" i="5"/>
  <c r="J1765" i="5"/>
  <c r="J1766" i="5"/>
  <c r="J1767" i="5"/>
  <c r="J1768" i="5"/>
  <c r="J1769" i="5"/>
  <c r="J1770" i="5"/>
  <c r="J1771" i="5"/>
  <c r="J1772" i="5"/>
  <c r="J1773" i="5"/>
  <c r="J1774" i="5"/>
  <c r="J1775" i="5"/>
  <c r="J1776" i="5"/>
  <c r="J1777" i="5"/>
  <c r="J1778" i="5"/>
  <c r="J1779" i="5"/>
  <c r="J1780" i="5"/>
  <c r="J1781" i="5"/>
  <c r="J1782" i="5"/>
  <c r="J1783" i="5"/>
  <c r="J1784" i="5"/>
  <c r="J1785" i="5"/>
  <c r="J1786" i="5"/>
  <c r="J1787" i="5"/>
  <c r="J1788" i="5"/>
  <c r="J1789" i="5"/>
  <c r="J1790" i="5"/>
  <c r="J1791" i="5"/>
  <c r="J1792" i="5"/>
  <c r="J1793" i="5"/>
  <c r="J1794" i="5"/>
  <c r="J1795" i="5"/>
  <c r="J1796" i="5"/>
  <c r="J1797" i="5"/>
  <c r="J1798" i="5"/>
  <c r="J1799" i="5"/>
  <c r="J1800" i="5"/>
  <c r="J1801" i="5"/>
  <c r="J1802" i="5"/>
  <c r="J1803" i="5"/>
  <c r="J1804" i="5"/>
  <c r="J1805" i="5"/>
  <c r="J1806" i="5"/>
  <c r="J1807" i="5"/>
  <c r="J1808" i="5"/>
  <c r="J1809" i="5"/>
  <c r="J1810" i="5"/>
  <c r="J1811" i="5"/>
  <c r="J1812" i="5"/>
  <c r="J1813" i="5"/>
  <c r="J1814" i="5"/>
  <c r="J1815" i="5"/>
  <c r="J1816" i="5"/>
  <c r="J1817" i="5"/>
  <c r="J1818" i="5"/>
  <c r="J1819" i="5"/>
  <c r="J1820" i="5"/>
  <c r="J1821" i="5"/>
  <c r="J1822" i="5"/>
  <c r="J1823" i="5"/>
  <c r="J1824" i="5"/>
  <c r="J1825" i="5"/>
  <c r="J1826" i="5"/>
  <c r="J1827" i="5"/>
  <c r="J1828" i="5"/>
  <c r="J1829" i="5"/>
  <c r="J1830" i="5"/>
  <c r="J1831" i="5"/>
  <c r="J1832" i="5"/>
  <c r="J1833" i="5"/>
  <c r="J1834" i="5"/>
  <c r="J1835" i="5"/>
  <c r="J1836" i="5"/>
  <c r="J1837" i="5"/>
  <c r="J1838" i="5"/>
  <c r="J1839" i="5"/>
  <c r="J1840" i="5"/>
  <c r="J1841" i="5"/>
  <c r="J1842" i="5"/>
  <c r="J1843" i="5"/>
  <c r="J1844" i="5"/>
  <c r="J1845" i="5"/>
  <c r="J1846" i="5"/>
  <c r="J1847" i="5"/>
  <c r="J1848" i="5"/>
  <c r="J1849" i="5"/>
  <c r="J1850" i="5"/>
  <c r="J1851" i="5"/>
  <c r="J1852" i="5"/>
  <c r="J1853" i="5"/>
  <c r="J1854" i="5"/>
  <c r="J1855" i="5"/>
  <c r="J1856" i="5"/>
  <c r="J1857" i="5"/>
  <c r="J1858" i="5"/>
  <c r="J1859" i="5"/>
  <c r="J1860" i="5"/>
  <c r="J1861" i="5"/>
  <c r="J1862" i="5"/>
  <c r="J1863" i="5"/>
  <c r="J1864" i="5"/>
  <c r="J1865" i="5"/>
  <c r="J1866" i="5"/>
  <c r="J1867" i="5"/>
  <c r="J1868" i="5"/>
  <c r="J1869" i="5"/>
  <c r="J1870" i="5"/>
  <c r="J1871" i="5"/>
  <c r="J1872" i="5"/>
  <c r="J1873" i="5"/>
  <c r="J1874" i="5"/>
  <c r="J1875" i="5"/>
  <c r="J1876" i="5"/>
  <c r="J1877" i="5"/>
  <c r="J1878" i="5"/>
  <c r="J1879" i="5"/>
  <c r="J1880" i="5"/>
  <c r="J1881" i="5"/>
  <c r="J1882" i="5"/>
  <c r="J1883" i="5"/>
  <c r="J1884" i="5"/>
  <c r="J1885" i="5"/>
  <c r="J1886" i="5"/>
  <c r="J1887" i="5"/>
  <c r="J1888" i="5"/>
  <c r="J1889" i="5"/>
  <c r="J1890" i="5"/>
  <c r="J1891" i="5"/>
  <c r="J1892" i="5"/>
  <c r="J1893" i="5"/>
  <c r="J1894" i="5"/>
  <c r="J1895" i="5"/>
  <c r="J1896" i="5"/>
  <c r="J1897" i="5"/>
  <c r="J1898" i="5"/>
  <c r="J1899" i="5"/>
  <c r="J1900" i="5"/>
  <c r="J1901" i="5"/>
  <c r="J1902" i="5"/>
  <c r="J1903" i="5"/>
  <c r="J1904" i="5"/>
  <c r="J1905" i="5"/>
  <c r="J1906" i="5"/>
  <c r="J1907" i="5"/>
  <c r="J1908" i="5"/>
  <c r="J1909" i="5"/>
  <c r="J1910" i="5"/>
  <c r="J1911" i="5"/>
  <c r="J1912" i="5"/>
  <c r="J1913" i="5"/>
  <c r="J1914" i="5"/>
  <c r="J1915" i="5"/>
  <c r="J1916" i="5"/>
  <c r="J1917" i="5"/>
  <c r="J1918" i="5"/>
  <c r="J1919" i="5"/>
  <c r="J1920" i="5"/>
  <c r="J1921" i="5"/>
  <c r="J1922" i="5"/>
  <c r="J1923" i="5"/>
  <c r="J1924" i="5"/>
  <c r="J1925" i="5"/>
  <c r="J1926" i="5"/>
  <c r="J1927" i="5"/>
  <c r="J1928" i="5"/>
  <c r="J1929" i="5"/>
  <c r="J1930" i="5"/>
  <c r="J1931" i="5"/>
  <c r="J1932" i="5"/>
  <c r="J1933" i="5"/>
  <c r="J1934" i="5"/>
  <c r="J1935" i="5"/>
  <c r="J1936" i="5"/>
  <c r="J1937" i="5"/>
  <c r="J1938" i="5"/>
  <c r="J1939" i="5"/>
  <c r="J1940" i="5"/>
  <c r="J1941" i="5"/>
  <c r="J1942" i="5"/>
  <c r="J1943" i="5"/>
  <c r="J1944" i="5"/>
  <c r="J1945" i="5"/>
  <c r="J1946" i="5"/>
  <c r="J1947" i="5"/>
  <c r="J1948" i="5"/>
  <c r="J1949" i="5"/>
  <c r="J1950" i="5"/>
  <c r="J1951" i="5"/>
  <c r="J1952" i="5"/>
  <c r="J1953" i="5"/>
  <c r="J1954" i="5"/>
  <c r="J1955" i="5"/>
  <c r="J1956" i="5"/>
  <c r="J1957" i="5"/>
  <c r="J1958" i="5"/>
  <c r="J1959" i="5"/>
  <c r="J1960" i="5"/>
  <c r="J1961" i="5"/>
  <c r="J1962" i="5"/>
  <c r="J1963" i="5"/>
  <c r="J1964" i="5"/>
  <c r="J1965" i="5"/>
  <c r="J1966" i="5"/>
  <c r="J1967" i="5"/>
  <c r="J1968" i="5"/>
  <c r="J1969" i="5"/>
  <c r="J1970" i="5"/>
  <c r="J1971" i="5"/>
  <c r="J1972" i="5"/>
  <c r="J1973" i="5"/>
  <c r="J1974" i="5"/>
  <c r="J1975" i="5"/>
  <c r="J1976" i="5"/>
  <c r="J1977" i="5"/>
  <c r="J1978" i="5"/>
  <c r="J1979" i="5"/>
  <c r="J1980" i="5"/>
  <c r="J1981" i="5"/>
  <c r="J1982" i="5"/>
  <c r="J1983" i="5"/>
  <c r="J1984" i="5"/>
  <c r="J1985" i="5"/>
  <c r="J1986" i="5"/>
  <c r="J1987" i="5"/>
  <c r="J1988" i="5"/>
  <c r="J1989" i="5"/>
  <c r="J1990" i="5"/>
  <c r="J1991" i="5"/>
  <c r="J1992" i="5"/>
  <c r="J1993" i="5"/>
  <c r="J1994" i="5"/>
  <c r="J1995" i="5"/>
  <c r="J1996" i="5"/>
  <c r="J1997" i="5"/>
  <c r="J1998" i="5"/>
  <c r="J1999" i="5"/>
  <c r="J2000" i="5"/>
  <c r="J2001" i="5"/>
  <c r="J2002" i="5"/>
  <c r="J2003" i="5"/>
  <c r="J2004" i="5"/>
  <c r="J2005" i="5"/>
  <c r="J2006" i="5"/>
  <c r="J2007" i="5"/>
  <c r="J2008" i="5"/>
  <c r="J2009" i="5"/>
  <c r="J2010" i="5"/>
  <c r="J2011" i="5"/>
  <c r="J2012" i="5"/>
  <c r="J2013" i="5"/>
  <c r="J2014" i="5"/>
  <c r="J2015" i="5"/>
  <c r="J2016" i="5"/>
  <c r="J2017" i="5"/>
  <c r="J2018" i="5"/>
  <c r="J2019" i="5"/>
  <c r="J2020" i="5"/>
  <c r="J2021" i="5"/>
  <c r="J2022" i="5"/>
  <c r="J2023" i="5"/>
  <c r="J2024" i="5"/>
  <c r="J2025" i="5"/>
  <c r="J2026" i="5"/>
  <c r="J2027" i="5"/>
  <c r="J2028" i="5"/>
  <c r="J2029" i="5"/>
  <c r="J2030" i="5"/>
  <c r="J2031" i="5"/>
  <c r="J2032" i="5"/>
  <c r="J2033" i="5"/>
  <c r="J2034" i="5"/>
  <c r="J2035" i="5"/>
  <c r="J2036" i="5"/>
  <c r="J2037" i="5"/>
  <c r="J2038" i="5"/>
  <c r="J2039" i="5"/>
  <c r="J2040" i="5"/>
  <c r="J2041" i="5"/>
  <c r="J2042" i="5"/>
  <c r="J2043" i="5"/>
  <c r="J2044" i="5"/>
  <c r="J2045" i="5"/>
  <c r="J2046" i="5"/>
  <c r="J2047" i="5"/>
  <c r="J2048" i="5"/>
  <c r="J2049" i="5"/>
  <c r="J2050" i="5"/>
  <c r="J2051" i="5"/>
  <c r="J2052" i="5"/>
  <c r="J2053" i="5"/>
  <c r="I7" i="5"/>
  <c r="J7" i="5" s="1"/>
  <c r="I8" i="5"/>
  <c r="J8" i="5" s="1"/>
  <c r="I9" i="5"/>
  <c r="J9" i="5" s="1"/>
  <c r="I10" i="5"/>
  <c r="J10" i="5" s="1"/>
  <c r="I11" i="5"/>
  <c r="J11" i="5" s="1"/>
  <c r="I12" i="5"/>
  <c r="J12" i="5" s="1"/>
  <c r="I13" i="5"/>
  <c r="J13" i="5" s="1"/>
  <c r="I14" i="5"/>
  <c r="J14" i="5" s="1"/>
  <c r="I15" i="5"/>
  <c r="J15" i="5" s="1"/>
  <c r="I16" i="5"/>
  <c r="J16" i="5" s="1"/>
  <c r="I17" i="5"/>
  <c r="J17" i="5" s="1"/>
  <c r="I18" i="5"/>
  <c r="J18" i="5" s="1"/>
  <c r="I19" i="5"/>
  <c r="J19" i="5" s="1"/>
  <c r="I20" i="5"/>
  <c r="J20" i="5" s="1"/>
  <c r="I21" i="5"/>
  <c r="J21" i="5" s="1"/>
  <c r="I22" i="5"/>
  <c r="J22" i="5" s="1"/>
  <c r="I23" i="5"/>
  <c r="J23" i="5" s="1"/>
  <c r="I24" i="5"/>
  <c r="J24" i="5" s="1"/>
  <c r="I25" i="5"/>
  <c r="J25" i="5" s="1"/>
  <c r="I26" i="5"/>
  <c r="J26" i="5" s="1"/>
  <c r="I27" i="5"/>
  <c r="J27" i="5" s="1"/>
  <c r="I28" i="5"/>
  <c r="J28" i="5" s="1"/>
  <c r="I29" i="5"/>
  <c r="J29" i="5" s="1"/>
  <c r="I30" i="5"/>
  <c r="J30" i="5" s="1"/>
  <c r="I31" i="5"/>
  <c r="J31" i="5" s="1"/>
  <c r="I32" i="5"/>
  <c r="J32" i="5" s="1"/>
  <c r="I33" i="5"/>
  <c r="J33" i="5" s="1"/>
  <c r="I34" i="5"/>
  <c r="J34" i="5" s="1"/>
  <c r="I35" i="5"/>
  <c r="J35" i="5" s="1"/>
  <c r="I36" i="5"/>
  <c r="J36" i="5" s="1"/>
  <c r="I37" i="5"/>
  <c r="J37" i="5" s="1"/>
  <c r="I38" i="5"/>
  <c r="J38" i="5" s="1"/>
  <c r="I39" i="5"/>
  <c r="J39" i="5" s="1"/>
  <c r="I40" i="5"/>
  <c r="J40" i="5" s="1"/>
  <c r="I41" i="5"/>
  <c r="J41" i="5" s="1"/>
  <c r="I42" i="5"/>
  <c r="J42" i="5" s="1"/>
  <c r="I43" i="5"/>
  <c r="J43" i="5" s="1"/>
  <c r="I44" i="5"/>
  <c r="J44" i="5" s="1"/>
  <c r="I45" i="5"/>
  <c r="J45" i="5" s="1"/>
  <c r="I46" i="5"/>
  <c r="J46" i="5" s="1"/>
  <c r="I47" i="5"/>
  <c r="J47" i="5" s="1"/>
  <c r="I48" i="5"/>
  <c r="J48" i="5" s="1"/>
  <c r="I49" i="5"/>
  <c r="J49" i="5" s="1"/>
  <c r="I50" i="5"/>
  <c r="J50" i="5" s="1"/>
  <c r="I51" i="5"/>
  <c r="J51" i="5" s="1"/>
  <c r="I52" i="5"/>
  <c r="J52" i="5" s="1"/>
  <c r="I53" i="5"/>
  <c r="J53" i="5" s="1"/>
  <c r="I54" i="5"/>
  <c r="J54" i="5" s="1"/>
  <c r="I55" i="5"/>
  <c r="J55" i="5" s="1"/>
  <c r="I56" i="5"/>
  <c r="J56" i="5" s="1"/>
  <c r="I57" i="5"/>
  <c r="J57" i="5" s="1"/>
  <c r="I58" i="5"/>
  <c r="J58" i="5" s="1"/>
  <c r="I59" i="5"/>
  <c r="J59" i="5" s="1"/>
  <c r="I60" i="5"/>
  <c r="J60" i="5" s="1"/>
  <c r="I61" i="5"/>
  <c r="J61" i="5" s="1"/>
  <c r="I62" i="5"/>
  <c r="J62" i="5" s="1"/>
  <c r="I63" i="5"/>
  <c r="J63" i="5" s="1"/>
  <c r="I64" i="5"/>
  <c r="J64" i="5" s="1"/>
  <c r="I65" i="5"/>
  <c r="J65" i="5" s="1"/>
  <c r="I66" i="5"/>
  <c r="J66" i="5" s="1"/>
  <c r="I67" i="5"/>
  <c r="J67" i="5" s="1"/>
  <c r="I68" i="5"/>
  <c r="J68" i="5" s="1"/>
  <c r="I69" i="5"/>
  <c r="J69" i="5" s="1"/>
  <c r="I70" i="5"/>
  <c r="J70" i="5" s="1"/>
  <c r="I71" i="5"/>
  <c r="J71" i="5" s="1"/>
  <c r="I72" i="5"/>
  <c r="J72" i="5" s="1"/>
  <c r="I73" i="5"/>
  <c r="J73" i="5" s="1"/>
  <c r="I74" i="5"/>
  <c r="J74" i="5" s="1"/>
  <c r="I75" i="5"/>
  <c r="J75" i="5" s="1"/>
  <c r="I76" i="5"/>
  <c r="J76" i="5" s="1"/>
  <c r="I77" i="5"/>
  <c r="J77" i="5" s="1"/>
  <c r="I78" i="5"/>
  <c r="J78" i="5" s="1"/>
  <c r="I79" i="5"/>
  <c r="J79" i="5" s="1"/>
  <c r="I80" i="5"/>
  <c r="J80" i="5" s="1"/>
  <c r="I81" i="5"/>
  <c r="J81" i="5" s="1"/>
  <c r="I82" i="5"/>
  <c r="J82" i="5" s="1"/>
  <c r="I83" i="5"/>
  <c r="J83" i="5" s="1"/>
  <c r="I84" i="5"/>
  <c r="J84" i="5" s="1"/>
  <c r="I85" i="5"/>
  <c r="J85" i="5" s="1"/>
  <c r="I86" i="5"/>
  <c r="J86" i="5" s="1"/>
  <c r="I87" i="5"/>
  <c r="J87" i="5" s="1"/>
  <c r="I88" i="5"/>
  <c r="J88" i="5" s="1"/>
  <c r="I89" i="5"/>
  <c r="J89" i="5" s="1"/>
  <c r="I90" i="5"/>
  <c r="J90" i="5" s="1"/>
  <c r="I91" i="5"/>
  <c r="J91" i="5" s="1"/>
  <c r="I92" i="5"/>
  <c r="J92" i="5" s="1"/>
  <c r="I93" i="5"/>
  <c r="J93" i="5" s="1"/>
  <c r="I94" i="5"/>
  <c r="J94" i="5" s="1"/>
  <c r="I95" i="5"/>
  <c r="J95" i="5" s="1"/>
  <c r="I96" i="5"/>
  <c r="J96" i="5" s="1"/>
  <c r="I97" i="5"/>
  <c r="J97" i="5" s="1"/>
  <c r="I98" i="5"/>
  <c r="J98" i="5" s="1"/>
  <c r="I99" i="5"/>
  <c r="J99" i="5" s="1"/>
  <c r="I100" i="5"/>
  <c r="J100" i="5" s="1"/>
  <c r="I101" i="5"/>
  <c r="J101" i="5" s="1"/>
  <c r="I102" i="5"/>
  <c r="J102" i="5" s="1"/>
  <c r="I103" i="5"/>
  <c r="J103" i="5" s="1"/>
  <c r="I104" i="5"/>
  <c r="J104" i="5" s="1"/>
  <c r="I105" i="5"/>
  <c r="J105" i="5" s="1"/>
  <c r="I106" i="5"/>
  <c r="J106" i="5" s="1"/>
  <c r="I107" i="5"/>
  <c r="J107" i="5" s="1"/>
  <c r="I108" i="5"/>
  <c r="J108" i="5" s="1"/>
  <c r="I109" i="5"/>
  <c r="J109" i="5" s="1"/>
  <c r="I110" i="5"/>
  <c r="J110" i="5" s="1"/>
  <c r="I111" i="5"/>
  <c r="J111" i="5" s="1"/>
  <c r="I112" i="5"/>
  <c r="J112" i="5" s="1"/>
  <c r="I113" i="5"/>
  <c r="J113" i="5" s="1"/>
  <c r="I114" i="5"/>
  <c r="J114" i="5" s="1"/>
  <c r="I115" i="5"/>
  <c r="J115" i="5" s="1"/>
  <c r="I116" i="5"/>
  <c r="J116" i="5" s="1"/>
  <c r="I117" i="5"/>
  <c r="J117" i="5" s="1"/>
  <c r="I118" i="5"/>
  <c r="J118" i="5" s="1"/>
  <c r="I119" i="5"/>
  <c r="J119" i="5" s="1"/>
  <c r="I120" i="5"/>
  <c r="J120" i="5" s="1"/>
  <c r="I121" i="5"/>
  <c r="J121" i="5" s="1"/>
  <c r="I122" i="5"/>
  <c r="J122" i="5" s="1"/>
  <c r="I123" i="5"/>
  <c r="J123" i="5" s="1"/>
  <c r="I124" i="5"/>
  <c r="J124" i="5" s="1"/>
  <c r="I125" i="5"/>
  <c r="J125" i="5" s="1"/>
  <c r="I126" i="5"/>
  <c r="J126" i="5" s="1"/>
  <c r="I127" i="5"/>
  <c r="J127" i="5" s="1"/>
  <c r="I128" i="5"/>
  <c r="J128" i="5" s="1"/>
  <c r="I129" i="5"/>
  <c r="J129" i="5" s="1"/>
  <c r="I130" i="5"/>
  <c r="J130" i="5" s="1"/>
  <c r="I131" i="5"/>
  <c r="J131" i="5" s="1"/>
  <c r="I132" i="5"/>
  <c r="J132" i="5" s="1"/>
  <c r="I133" i="5"/>
  <c r="J133" i="5" s="1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I941" i="5"/>
  <c r="I942" i="5"/>
  <c r="I943" i="5"/>
  <c r="I944" i="5"/>
  <c r="I945" i="5"/>
  <c r="I946" i="5"/>
  <c r="I947" i="5"/>
  <c r="I948" i="5"/>
  <c r="I949" i="5"/>
  <c r="I950" i="5"/>
  <c r="I951" i="5"/>
  <c r="I952" i="5"/>
  <c r="I953" i="5"/>
  <c r="I954" i="5"/>
  <c r="I955" i="5"/>
  <c r="I956" i="5"/>
  <c r="I957" i="5"/>
  <c r="I958" i="5"/>
  <c r="I959" i="5"/>
  <c r="I960" i="5"/>
  <c r="I961" i="5"/>
  <c r="I962" i="5"/>
  <c r="I963" i="5"/>
  <c r="I964" i="5"/>
  <c r="I965" i="5"/>
  <c r="I966" i="5"/>
  <c r="I967" i="5"/>
  <c r="I968" i="5"/>
  <c r="I969" i="5"/>
  <c r="I970" i="5"/>
  <c r="I971" i="5"/>
  <c r="I972" i="5"/>
  <c r="I973" i="5"/>
  <c r="I974" i="5"/>
  <c r="I975" i="5"/>
  <c r="I976" i="5"/>
  <c r="I977" i="5"/>
  <c r="I978" i="5"/>
  <c r="I979" i="5"/>
  <c r="I980" i="5"/>
  <c r="I981" i="5"/>
  <c r="I982" i="5"/>
  <c r="I983" i="5"/>
  <c r="I984" i="5"/>
  <c r="I985" i="5"/>
  <c r="I986" i="5"/>
  <c r="I987" i="5"/>
  <c r="I988" i="5"/>
  <c r="I989" i="5"/>
  <c r="I990" i="5"/>
  <c r="I991" i="5"/>
  <c r="I992" i="5"/>
  <c r="I993" i="5"/>
  <c r="I994" i="5"/>
  <c r="I995" i="5"/>
  <c r="I996" i="5"/>
  <c r="I997" i="5"/>
  <c r="I998" i="5"/>
  <c r="I999" i="5"/>
  <c r="I1000" i="5"/>
  <c r="I1001" i="5"/>
  <c r="I1002" i="5"/>
  <c r="I1003" i="5"/>
  <c r="I1004" i="5"/>
  <c r="I1005" i="5"/>
  <c r="I1006" i="5"/>
  <c r="I1007" i="5"/>
  <c r="I1008" i="5"/>
  <c r="I1009" i="5"/>
  <c r="I1010" i="5"/>
  <c r="I1011" i="5"/>
  <c r="I1012" i="5"/>
  <c r="I1013" i="5"/>
  <c r="I1014" i="5"/>
  <c r="I1015" i="5"/>
  <c r="I1016" i="5"/>
  <c r="I1017" i="5"/>
  <c r="I1018" i="5"/>
  <c r="I1019" i="5"/>
  <c r="I1020" i="5"/>
  <c r="I1021" i="5"/>
  <c r="I1022" i="5"/>
  <c r="I1023" i="5"/>
  <c r="I1024" i="5"/>
  <c r="I1025" i="5"/>
  <c r="I1026" i="5"/>
  <c r="I1027" i="5"/>
  <c r="I1028" i="5"/>
  <c r="I1029" i="5"/>
  <c r="I1030" i="5"/>
  <c r="I1031" i="5"/>
  <c r="I1032" i="5"/>
  <c r="I1033" i="5"/>
  <c r="I1034" i="5"/>
  <c r="I1035" i="5"/>
  <c r="I1036" i="5"/>
  <c r="I1037" i="5"/>
  <c r="I1038" i="5"/>
  <c r="I1039" i="5"/>
  <c r="I1040" i="5"/>
  <c r="I1041" i="5"/>
  <c r="I1042" i="5"/>
  <c r="I1043" i="5"/>
  <c r="I1044" i="5"/>
  <c r="I1045" i="5"/>
  <c r="I1046" i="5"/>
  <c r="I1047" i="5"/>
  <c r="I1048" i="5"/>
  <c r="I1049" i="5"/>
  <c r="I1050" i="5"/>
  <c r="I1051" i="5"/>
  <c r="I1052" i="5"/>
  <c r="I1053" i="5"/>
  <c r="I1054" i="5"/>
  <c r="I1055" i="5"/>
  <c r="I1056" i="5"/>
  <c r="I1057" i="5"/>
  <c r="I1058" i="5"/>
  <c r="I1059" i="5"/>
  <c r="I1060" i="5"/>
  <c r="I1061" i="5"/>
  <c r="I1062" i="5"/>
  <c r="I1063" i="5"/>
  <c r="I1064" i="5"/>
  <c r="I1065" i="5"/>
  <c r="I1066" i="5"/>
  <c r="I1067" i="5"/>
  <c r="I1068" i="5"/>
  <c r="I1069" i="5"/>
  <c r="I1070" i="5"/>
  <c r="I1071" i="5"/>
  <c r="I1072" i="5"/>
  <c r="I1073" i="5"/>
  <c r="I1074" i="5"/>
  <c r="I1075" i="5"/>
  <c r="I1076" i="5"/>
  <c r="I1077" i="5"/>
  <c r="I1078" i="5"/>
  <c r="I1079" i="5"/>
  <c r="I1080" i="5"/>
  <c r="I1081" i="5"/>
  <c r="I1082" i="5"/>
  <c r="I1083" i="5"/>
  <c r="I1084" i="5"/>
  <c r="I1085" i="5"/>
  <c r="I1086" i="5"/>
  <c r="I1087" i="5"/>
  <c r="I1088" i="5"/>
  <c r="I1089" i="5"/>
  <c r="I1090" i="5"/>
  <c r="I1091" i="5"/>
  <c r="I1092" i="5"/>
  <c r="I1093" i="5"/>
  <c r="I1094" i="5"/>
  <c r="I1095" i="5"/>
  <c r="I1096" i="5"/>
  <c r="I1097" i="5"/>
  <c r="I1098" i="5"/>
  <c r="I1099" i="5"/>
  <c r="I1100" i="5"/>
  <c r="I1101" i="5"/>
  <c r="I1102" i="5"/>
  <c r="I1103" i="5"/>
  <c r="I1104" i="5"/>
  <c r="I1105" i="5"/>
  <c r="I1106" i="5"/>
  <c r="I1107" i="5"/>
  <c r="I1108" i="5"/>
  <c r="I1109" i="5"/>
  <c r="I1110" i="5"/>
  <c r="I1111" i="5"/>
  <c r="I1112" i="5"/>
  <c r="I1113" i="5"/>
  <c r="I1114" i="5"/>
  <c r="I1115" i="5"/>
  <c r="I1116" i="5"/>
  <c r="I1117" i="5"/>
  <c r="I1118" i="5"/>
  <c r="I1119" i="5"/>
  <c r="I1120" i="5"/>
  <c r="I1121" i="5"/>
  <c r="I1122" i="5"/>
  <c r="I1123" i="5"/>
  <c r="I1124" i="5"/>
  <c r="I1125" i="5"/>
  <c r="I1126" i="5"/>
  <c r="I1127" i="5"/>
  <c r="I1128" i="5"/>
  <c r="I1129" i="5"/>
  <c r="I1130" i="5"/>
  <c r="I1131" i="5"/>
  <c r="I1132" i="5"/>
  <c r="I1133" i="5"/>
  <c r="I1134" i="5"/>
  <c r="I1135" i="5"/>
  <c r="I1136" i="5"/>
  <c r="I1137" i="5"/>
  <c r="I1138" i="5"/>
  <c r="I1139" i="5"/>
  <c r="I1140" i="5"/>
  <c r="I1141" i="5"/>
  <c r="I1142" i="5"/>
  <c r="I1143" i="5"/>
  <c r="I1144" i="5"/>
  <c r="I1145" i="5"/>
  <c r="I1146" i="5"/>
  <c r="I1147" i="5"/>
  <c r="I1148" i="5"/>
  <c r="I1149" i="5"/>
  <c r="I1150" i="5"/>
  <c r="I1151" i="5"/>
  <c r="I1152" i="5"/>
  <c r="I1153" i="5"/>
  <c r="I1154" i="5"/>
  <c r="I1155" i="5"/>
  <c r="I1156" i="5"/>
  <c r="I1157" i="5"/>
  <c r="I1158" i="5"/>
  <c r="I1159" i="5"/>
  <c r="I1160" i="5"/>
  <c r="I1161" i="5"/>
  <c r="I1162" i="5"/>
  <c r="I1163" i="5"/>
  <c r="I1164" i="5"/>
  <c r="I1165" i="5"/>
  <c r="I1166" i="5"/>
  <c r="I1167" i="5"/>
  <c r="I1168" i="5"/>
  <c r="I1169" i="5"/>
  <c r="I1170" i="5"/>
  <c r="I1171" i="5"/>
  <c r="I1172" i="5"/>
  <c r="I1173" i="5"/>
  <c r="I1174" i="5"/>
  <c r="I1175" i="5"/>
  <c r="I1176" i="5"/>
  <c r="I1177" i="5"/>
  <c r="I1178" i="5"/>
  <c r="I1179" i="5"/>
  <c r="I1180" i="5"/>
  <c r="I1181" i="5"/>
  <c r="I1182" i="5"/>
  <c r="I1183" i="5"/>
  <c r="I1184" i="5"/>
  <c r="I1185" i="5"/>
  <c r="I1186" i="5"/>
  <c r="I1187" i="5"/>
  <c r="I1188" i="5"/>
  <c r="I1189" i="5"/>
  <c r="I1190" i="5"/>
  <c r="I1191" i="5"/>
  <c r="I1192" i="5"/>
  <c r="I1193" i="5"/>
  <c r="I1194" i="5"/>
  <c r="I1195" i="5"/>
  <c r="I1196" i="5"/>
  <c r="I1197" i="5"/>
  <c r="I1198" i="5"/>
  <c r="I1199" i="5"/>
  <c r="I1200" i="5"/>
  <c r="I1201" i="5"/>
  <c r="I1202" i="5"/>
  <c r="I1203" i="5"/>
  <c r="I1204" i="5"/>
  <c r="I1205" i="5"/>
  <c r="I1206" i="5"/>
  <c r="I1207" i="5"/>
  <c r="I1208" i="5"/>
  <c r="I1209" i="5"/>
  <c r="I1210" i="5"/>
  <c r="I1211" i="5"/>
  <c r="I1212" i="5"/>
  <c r="I1213" i="5"/>
  <c r="I1214" i="5"/>
  <c r="I1215" i="5"/>
  <c r="I1216" i="5"/>
  <c r="I1217" i="5"/>
  <c r="I1218" i="5"/>
  <c r="I1219" i="5"/>
  <c r="I1220" i="5"/>
  <c r="I1221" i="5"/>
  <c r="I1222" i="5"/>
  <c r="I1223" i="5"/>
  <c r="I1224" i="5"/>
  <c r="I1225" i="5"/>
  <c r="I1226" i="5"/>
  <c r="I1227" i="5"/>
  <c r="I1228" i="5"/>
  <c r="I1229" i="5"/>
  <c r="I1230" i="5"/>
  <c r="I1231" i="5"/>
  <c r="I1232" i="5"/>
  <c r="I1233" i="5"/>
  <c r="I1234" i="5"/>
  <c r="I1235" i="5"/>
  <c r="I1236" i="5"/>
  <c r="I1237" i="5"/>
  <c r="I1238" i="5"/>
  <c r="I1239" i="5"/>
  <c r="I1240" i="5"/>
  <c r="I1241" i="5"/>
  <c r="I1242" i="5"/>
  <c r="I1243" i="5"/>
  <c r="I1244" i="5"/>
  <c r="I1245" i="5"/>
  <c r="I1246" i="5"/>
  <c r="I1247" i="5"/>
  <c r="I1248" i="5"/>
  <c r="I1249" i="5"/>
  <c r="I1250" i="5"/>
  <c r="I1251" i="5"/>
  <c r="I1252" i="5"/>
  <c r="I1253" i="5"/>
  <c r="I1254" i="5"/>
  <c r="I1255" i="5"/>
  <c r="I1256" i="5"/>
  <c r="I1257" i="5"/>
  <c r="I1258" i="5"/>
  <c r="I1259" i="5"/>
  <c r="I1260" i="5"/>
  <c r="I1261" i="5"/>
  <c r="I1262" i="5"/>
  <c r="I1263" i="5"/>
  <c r="I1264" i="5"/>
  <c r="I1265" i="5"/>
  <c r="I1266" i="5"/>
  <c r="I1267" i="5"/>
  <c r="I1268" i="5"/>
  <c r="I1269" i="5"/>
  <c r="I1270" i="5"/>
  <c r="I1271" i="5"/>
  <c r="I1272" i="5"/>
  <c r="I1273" i="5"/>
  <c r="I1274" i="5"/>
  <c r="I1275" i="5"/>
  <c r="I1276" i="5"/>
  <c r="I1277" i="5"/>
  <c r="I1278" i="5"/>
  <c r="I1279" i="5"/>
  <c r="I1280" i="5"/>
  <c r="I1281" i="5"/>
  <c r="I1282" i="5"/>
  <c r="I1283" i="5"/>
  <c r="I1284" i="5"/>
  <c r="I1285" i="5"/>
  <c r="I1286" i="5"/>
  <c r="I1287" i="5"/>
  <c r="I1288" i="5"/>
  <c r="I1289" i="5"/>
  <c r="I1290" i="5"/>
  <c r="I1291" i="5"/>
  <c r="I1292" i="5"/>
  <c r="I1293" i="5"/>
  <c r="I1294" i="5"/>
  <c r="I1295" i="5"/>
  <c r="I1296" i="5"/>
  <c r="I1297" i="5"/>
  <c r="I1298" i="5"/>
  <c r="I1299" i="5"/>
  <c r="I1300" i="5"/>
  <c r="I1301" i="5"/>
  <c r="I1302" i="5"/>
  <c r="I1303" i="5"/>
  <c r="I1304" i="5"/>
  <c r="I1305" i="5"/>
  <c r="I1306" i="5"/>
  <c r="I1307" i="5"/>
  <c r="I1308" i="5"/>
  <c r="I1309" i="5"/>
  <c r="I1310" i="5"/>
  <c r="I1311" i="5"/>
  <c r="I1312" i="5"/>
  <c r="I1313" i="5"/>
  <c r="I1314" i="5"/>
  <c r="I1315" i="5"/>
  <c r="I1316" i="5"/>
  <c r="I1317" i="5"/>
  <c r="I1318" i="5"/>
  <c r="I1319" i="5"/>
  <c r="I1320" i="5"/>
  <c r="I1321" i="5"/>
  <c r="I1322" i="5"/>
  <c r="I1323" i="5"/>
  <c r="I1324" i="5"/>
  <c r="I1325" i="5"/>
  <c r="I1326" i="5"/>
  <c r="I1327" i="5"/>
  <c r="I1328" i="5"/>
  <c r="I1329" i="5"/>
  <c r="I1330" i="5"/>
  <c r="I1331" i="5"/>
  <c r="I1332" i="5"/>
  <c r="I1333" i="5"/>
  <c r="I1334" i="5"/>
  <c r="I1335" i="5"/>
  <c r="I1336" i="5"/>
  <c r="I1337" i="5"/>
  <c r="I1338" i="5"/>
  <c r="I1339" i="5"/>
  <c r="I1340" i="5"/>
  <c r="I1341" i="5"/>
  <c r="I1342" i="5"/>
  <c r="I1343" i="5"/>
  <c r="I1344" i="5"/>
  <c r="I1345" i="5"/>
  <c r="I1346" i="5"/>
  <c r="I1347" i="5"/>
  <c r="I1348" i="5"/>
  <c r="I1349" i="5"/>
  <c r="I1350" i="5"/>
  <c r="I1351" i="5"/>
  <c r="I1352" i="5"/>
  <c r="I1353" i="5"/>
  <c r="I1354" i="5"/>
  <c r="I1355" i="5"/>
  <c r="I1356" i="5"/>
  <c r="I1357" i="5"/>
  <c r="I1358" i="5"/>
  <c r="I1359" i="5"/>
  <c r="I1360" i="5"/>
  <c r="I1361" i="5"/>
  <c r="I1362" i="5"/>
  <c r="I1363" i="5"/>
  <c r="I1364" i="5"/>
  <c r="I1365" i="5"/>
  <c r="I1366" i="5"/>
  <c r="I1367" i="5"/>
  <c r="I1368" i="5"/>
  <c r="I1369" i="5"/>
  <c r="I1370" i="5"/>
  <c r="I1371" i="5"/>
  <c r="I1372" i="5"/>
  <c r="I1373" i="5"/>
  <c r="I1374" i="5"/>
  <c r="I1375" i="5"/>
  <c r="I1376" i="5"/>
  <c r="I1377" i="5"/>
  <c r="I1378" i="5"/>
  <c r="I1379" i="5"/>
  <c r="I1380" i="5"/>
  <c r="I1381" i="5"/>
  <c r="I1382" i="5"/>
  <c r="I1383" i="5"/>
  <c r="I1384" i="5"/>
  <c r="I1385" i="5"/>
  <c r="I1386" i="5"/>
  <c r="I1387" i="5"/>
  <c r="I1388" i="5"/>
  <c r="I1389" i="5"/>
  <c r="I1390" i="5"/>
  <c r="I1391" i="5"/>
  <c r="I1392" i="5"/>
  <c r="I1393" i="5"/>
  <c r="I1394" i="5"/>
  <c r="I1395" i="5"/>
  <c r="I1396" i="5"/>
  <c r="I1397" i="5"/>
  <c r="I1398" i="5"/>
  <c r="I1399" i="5"/>
  <c r="I1400" i="5"/>
  <c r="I1401" i="5"/>
  <c r="I1402" i="5"/>
  <c r="I1403" i="5"/>
  <c r="I1404" i="5"/>
  <c r="I1405" i="5"/>
  <c r="I1406" i="5"/>
  <c r="I1407" i="5"/>
  <c r="I1408" i="5"/>
  <c r="I1409" i="5"/>
  <c r="I1410" i="5"/>
  <c r="I1411" i="5"/>
  <c r="I1412" i="5"/>
  <c r="I1413" i="5"/>
  <c r="I1414" i="5"/>
  <c r="I1415" i="5"/>
  <c r="I1416" i="5"/>
  <c r="I1417" i="5"/>
  <c r="I1418" i="5"/>
  <c r="I1419" i="5"/>
  <c r="I1420" i="5"/>
  <c r="I1421" i="5"/>
  <c r="I1422" i="5"/>
  <c r="I1423" i="5"/>
  <c r="I1424" i="5"/>
  <c r="I1425" i="5"/>
  <c r="I1426" i="5"/>
  <c r="I1427" i="5"/>
  <c r="I1428" i="5"/>
  <c r="I1429" i="5"/>
  <c r="I1430" i="5"/>
  <c r="I1431" i="5"/>
  <c r="I1432" i="5"/>
  <c r="I1433" i="5"/>
  <c r="I1434" i="5"/>
  <c r="I1435" i="5"/>
  <c r="I1436" i="5"/>
  <c r="I1437" i="5"/>
  <c r="I1438" i="5"/>
  <c r="I1439" i="5"/>
  <c r="I1440" i="5"/>
  <c r="I1441" i="5"/>
  <c r="I1442" i="5"/>
  <c r="I1443" i="5"/>
  <c r="I1444" i="5"/>
  <c r="I1445" i="5"/>
  <c r="I1446" i="5"/>
  <c r="I1447" i="5"/>
  <c r="I1448" i="5"/>
  <c r="I1449" i="5"/>
  <c r="I1450" i="5"/>
  <c r="I1451" i="5"/>
  <c r="I1452" i="5"/>
  <c r="I1453" i="5"/>
  <c r="I1454" i="5"/>
  <c r="I1455" i="5"/>
  <c r="I1456" i="5"/>
  <c r="I1457" i="5"/>
  <c r="I1458" i="5"/>
  <c r="I1459" i="5"/>
  <c r="I1460" i="5"/>
  <c r="I1461" i="5"/>
  <c r="I1462" i="5"/>
  <c r="I1463" i="5"/>
  <c r="I1464" i="5"/>
  <c r="I1465" i="5"/>
  <c r="I1466" i="5"/>
  <c r="I1467" i="5"/>
  <c r="I1468" i="5"/>
  <c r="I1469" i="5"/>
  <c r="I1470" i="5"/>
  <c r="I1471" i="5"/>
  <c r="I1472" i="5"/>
  <c r="I1473" i="5"/>
  <c r="I1474" i="5"/>
  <c r="I1475" i="5"/>
  <c r="I1476" i="5"/>
  <c r="I1477" i="5"/>
  <c r="I1478" i="5"/>
  <c r="I1479" i="5"/>
  <c r="I1480" i="5"/>
  <c r="I1481" i="5"/>
  <c r="I1482" i="5"/>
  <c r="I1483" i="5"/>
  <c r="I1484" i="5"/>
  <c r="I1485" i="5"/>
  <c r="I1486" i="5"/>
  <c r="I1487" i="5"/>
  <c r="I1488" i="5"/>
  <c r="I1489" i="5"/>
  <c r="I1490" i="5"/>
  <c r="I1491" i="5"/>
  <c r="I1492" i="5"/>
  <c r="I1493" i="5"/>
  <c r="I1494" i="5"/>
  <c r="I1495" i="5"/>
  <c r="I1496" i="5"/>
  <c r="I1497" i="5"/>
  <c r="I1498" i="5"/>
  <c r="I1499" i="5"/>
  <c r="I1500" i="5"/>
  <c r="I1501" i="5"/>
  <c r="I1502" i="5"/>
  <c r="I1503" i="5"/>
  <c r="I1504" i="5"/>
  <c r="I1505" i="5"/>
  <c r="I1506" i="5"/>
  <c r="I1507" i="5"/>
  <c r="I1508" i="5"/>
  <c r="I1509" i="5"/>
  <c r="I1510" i="5"/>
  <c r="I1511" i="5"/>
  <c r="I1512" i="5"/>
  <c r="I1513" i="5"/>
  <c r="I1514" i="5"/>
  <c r="I1515" i="5"/>
  <c r="I1516" i="5"/>
  <c r="I1517" i="5"/>
  <c r="I1518" i="5"/>
  <c r="I1519" i="5"/>
  <c r="I1520" i="5"/>
  <c r="I1521" i="5"/>
  <c r="I1522" i="5"/>
  <c r="I1523" i="5"/>
  <c r="I1524" i="5"/>
  <c r="I1525" i="5"/>
  <c r="I1526" i="5"/>
  <c r="I1527" i="5"/>
  <c r="I1528" i="5"/>
  <c r="I1529" i="5"/>
  <c r="I1530" i="5"/>
  <c r="I1531" i="5"/>
  <c r="I1532" i="5"/>
  <c r="I1533" i="5"/>
  <c r="I1534" i="5"/>
  <c r="I1535" i="5"/>
  <c r="I1536" i="5"/>
  <c r="I1537" i="5"/>
  <c r="I1538" i="5"/>
  <c r="I1539" i="5"/>
  <c r="I1540" i="5"/>
  <c r="I1541" i="5"/>
  <c r="I1542" i="5"/>
  <c r="I1543" i="5"/>
  <c r="I1544" i="5"/>
  <c r="I1545" i="5"/>
  <c r="I1546" i="5"/>
  <c r="I1547" i="5"/>
  <c r="I1548" i="5"/>
  <c r="I1549" i="5"/>
  <c r="I1550" i="5"/>
  <c r="I1551" i="5"/>
  <c r="I1552" i="5"/>
  <c r="I1553" i="5"/>
  <c r="I1554" i="5"/>
  <c r="I1555" i="5"/>
  <c r="I1556" i="5"/>
  <c r="I1557" i="5"/>
  <c r="I1558" i="5"/>
  <c r="I1559" i="5"/>
  <c r="I1560" i="5"/>
  <c r="I1561" i="5"/>
  <c r="I1562" i="5"/>
  <c r="I1563" i="5"/>
  <c r="I1564" i="5"/>
  <c r="I1565" i="5"/>
  <c r="I1566" i="5"/>
  <c r="I1567" i="5"/>
  <c r="I1568" i="5"/>
  <c r="I1569" i="5"/>
  <c r="I1570" i="5"/>
  <c r="I1571" i="5"/>
  <c r="I1572" i="5"/>
  <c r="I1573" i="5"/>
  <c r="I1574" i="5"/>
  <c r="I1575" i="5"/>
  <c r="I1576" i="5"/>
  <c r="I1577" i="5"/>
  <c r="I1578" i="5"/>
  <c r="I1579" i="5"/>
  <c r="I1580" i="5"/>
  <c r="I1581" i="5"/>
  <c r="I1582" i="5"/>
  <c r="I1583" i="5"/>
  <c r="I1584" i="5"/>
  <c r="I1585" i="5"/>
  <c r="I1586" i="5"/>
  <c r="I1587" i="5"/>
  <c r="I1588" i="5"/>
  <c r="I1589" i="5"/>
  <c r="I1590" i="5"/>
  <c r="I1591" i="5"/>
  <c r="I1592" i="5"/>
  <c r="I1593" i="5"/>
  <c r="I1594" i="5"/>
  <c r="I1595" i="5"/>
  <c r="I1596" i="5"/>
  <c r="I1597" i="5"/>
  <c r="I1598" i="5"/>
  <c r="I1599" i="5"/>
  <c r="I1600" i="5"/>
  <c r="I1601" i="5"/>
  <c r="I1602" i="5"/>
  <c r="I1603" i="5"/>
  <c r="I1604" i="5"/>
  <c r="I1605" i="5"/>
  <c r="I1606" i="5"/>
  <c r="I1607" i="5"/>
  <c r="I1608" i="5"/>
  <c r="I1609" i="5"/>
  <c r="I1610" i="5"/>
  <c r="I1611" i="5"/>
  <c r="I1612" i="5"/>
  <c r="I1613" i="5"/>
  <c r="I1614" i="5"/>
  <c r="I1615" i="5"/>
  <c r="I1616" i="5"/>
  <c r="I1617" i="5"/>
  <c r="I1618" i="5"/>
  <c r="I1619" i="5"/>
  <c r="I1620" i="5"/>
  <c r="I1621" i="5"/>
  <c r="I1622" i="5"/>
  <c r="I1623" i="5"/>
  <c r="I1624" i="5"/>
  <c r="I1625" i="5"/>
  <c r="I1626" i="5"/>
  <c r="I1627" i="5"/>
  <c r="I1628" i="5"/>
  <c r="I1629" i="5"/>
  <c r="I1630" i="5"/>
  <c r="I1631" i="5"/>
  <c r="I1632" i="5"/>
  <c r="I1633" i="5"/>
  <c r="I1634" i="5"/>
  <c r="I1635" i="5"/>
  <c r="I1636" i="5"/>
  <c r="I1637" i="5"/>
  <c r="I1638" i="5"/>
  <c r="I1639" i="5"/>
  <c r="I1640" i="5"/>
  <c r="I1641" i="5"/>
  <c r="I1642" i="5"/>
  <c r="I1643" i="5"/>
  <c r="I1644" i="5"/>
  <c r="I1645" i="5"/>
  <c r="I1646" i="5"/>
  <c r="I1647" i="5"/>
  <c r="I1648" i="5"/>
  <c r="I1649" i="5"/>
  <c r="I1650" i="5"/>
  <c r="I1651" i="5"/>
  <c r="I1652" i="5"/>
  <c r="I1653" i="5"/>
  <c r="I1654" i="5"/>
  <c r="I1655" i="5"/>
  <c r="I1656" i="5"/>
  <c r="I1657" i="5"/>
  <c r="I1658" i="5"/>
  <c r="I1659" i="5"/>
  <c r="I1660" i="5"/>
  <c r="I1661" i="5"/>
  <c r="I1662" i="5"/>
  <c r="I1663" i="5"/>
  <c r="I1664" i="5"/>
  <c r="I1665" i="5"/>
  <c r="I1666" i="5"/>
  <c r="I1667" i="5"/>
  <c r="I1668" i="5"/>
  <c r="I1669" i="5"/>
  <c r="I1670" i="5"/>
  <c r="I1671" i="5"/>
  <c r="I1672" i="5"/>
  <c r="I1673" i="5"/>
  <c r="I1674" i="5"/>
  <c r="I1675" i="5"/>
  <c r="I1676" i="5"/>
  <c r="I1677" i="5"/>
  <c r="I1678" i="5"/>
  <c r="I1679" i="5"/>
  <c r="I1680" i="5"/>
  <c r="I1681" i="5"/>
  <c r="I1682" i="5"/>
  <c r="I1683" i="5"/>
  <c r="I1684" i="5"/>
  <c r="I1685" i="5"/>
  <c r="I1686" i="5"/>
  <c r="I1687" i="5"/>
  <c r="I1688" i="5"/>
  <c r="I1689" i="5"/>
  <c r="I1690" i="5"/>
  <c r="I1691" i="5"/>
  <c r="I1692" i="5"/>
  <c r="I1693" i="5"/>
  <c r="I1694" i="5"/>
  <c r="I1695" i="5"/>
  <c r="I1696" i="5"/>
  <c r="I1697" i="5"/>
  <c r="I1698" i="5"/>
  <c r="I1699" i="5"/>
  <c r="I1700" i="5"/>
  <c r="I1701" i="5"/>
  <c r="I1702" i="5"/>
  <c r="I1703" i="5"/>
  <c r="I1704" i="5"/>
  <c r="I1705" i="5"/>
  <c r="I1706" i="5"/>
  <c r="I1707" i="5"/>
  <c r="I1708" i="5"/>
  <c r="I1709" i="5"/>
  <c r="I1710" i="5"/>
  <c r="I1711" i="5"/>
  <c r="I1712" i="5"/>
  <c r="I1713" i="5"/>
  <c r="I1714" i="5"/>
  <c r="I1715" i="5"/>
  <c r="I1716" i="5"/>
  <c r="I1717" i="5"/>
  <c r="I1718" i="5"/>
  <c r="I1719" i="5"/>
  <c r="I1720" i="5"/>
  <c r="I1721" i="5"/>
  <c r="I1722" i="5"/>
  <c r="I1723" i="5"/>
  <c r="I1724" i="5"/>
  <c r="I1725" i="5"/>
  <c r="I1726" i="5"/>
  <c r="I1727" i="5"/>
  <c r="I1728" i="5"/>
  <c r="I1729" i="5"/>
  <c r="I1730" i="5"/>
  <c r="I1731" i="5"/>
  <c r="I1732" i="5"/>
  <c r="I1733" i="5"/>
  <c r="I1734" i="5"/>
  <c r="I1735" i="5"/>
  <c r="I1736" i="5"/>
  <c r="I1737" i="5"/>
  <c r="I1738" i="5"/>
  <c r="I1739" i="5"/>
  <c r="I1740" i="5"/>
  <c r="I1741" i="5"/>
  <c r="I1742" i="5"/>
  <c r="I1743" i="5"/>
  <c r="I1744" i="5"/>
  <c r="I1745" i="5"/>
  <c r="I1746" i="5"/>
  <c r="I1747" i="5"/>
  <c r="I1748" i="5"/>
  <c r="I1749" i="5"/>
  <c r="I1750" i="5"/>
  <c r="I1751" i="5"/>
  <c r="I1752" i="5"/>
  <c r="I1753" i="5"/>
  <c r="I1754" i="5"/>
  <c r="I1755" i="5"/>
  <c r="I1756" i="5"/>
  <c r="I1757" i="5"/>
  <c r="I1758" i="5"/>
  <c r="I1759" i="5"/>
  <c r="I1760" i="5"/>
  <c r="I1761" i="5"/>
  <c r="I1762" i="5"/>
  <c r="I1763" i="5"/>
  <c r="I1764" i="5"/>
  <c r="I1765" i="5"/>
  <c r="I1766" i="5"/>
  <c r="I1767" i="5"/>
  <c r="I1768" i="5"/>
  <c r="I1769" i="5"/>
  <c r="I1770" i="5"/>
  <c r="I1771" i="5"/>
  <c r="I1772" i="5"/>
  <c r="I1773" i="5"/>
  <c r="I1774" i="5"/>
  <c r="I1775" i="5"/>
  <c r="I1776" i="5"/>
  <c r="I1777" i="5"/>
  <c r="I1778" i="5"/>
  <c r="I1779" i="5"/>
  <c r="I1780" i="5"/>
  <c r="I1781" i="5"/>
  <c r="I1782" i="5"/>
  <c r="I1783" i="5"/>
  <c r="I1784" i="5"/>
  <c r="I1785" i="5"/>
  <c r="I1786" i="5"/>
  <c r="I1787" i="5"/>
  <c r="I1788" i="5"/>
  <c r="I1789" i="5"/>
  <c r="I1790" i="5"/>
  <c r="I1791" i="5"/>
  <c r="I1792" i="5"/>
  <c r="I1793" i="5"/>
  <c r="I1794" i="5"/>
  <c r="I1795" i="5"/>
  <c r="I1796" i="5"/>
  <c r="I1797" i="5"/>
  <c r="I1798" i="5"/>
  <c r="I1799" i="5"/>
  <c r="I1800" i="5"/>
  <c r="I1801" i="5"/>
  <c r="I1802" i="5"/>
  <c r="I1803" i="5"/>
  <c r="I1804" i="5"/>
  <c r="I1805" i="5"/>
  <c r="I1806" i="5"/>
  <c r="I1807" i="5"/>
  <c r="I1808" i="5"/>
  <c r="I1809" i="5"/>
  <c r="I1810" i="5"/>
  <c r="I1811" i="5"/>
  <c r="I1812" i="5"/>
  <c r="I1813" i="5"/>
  <c r="I1814" i="5"/>
  <c r="I1815" i="5"/>
  <c r="I1816" i="5"/>
  <c r="I1817" i="5"/>
  <c r="I1818" i="5"/>
  <c r="I1819" i="5"/>
  <c r="I1820" i="5"/>
  <c r="I1821" i="5"/>
  <c r="I1822" i="5"/>
  <c r="I1823" i="5"/>
  <c r="I1824" i="5"/>
  <c r="I1825" i="5"/>
  <c r="I1826" i="5"/>
  <c r="I1827" i="5"/>
  <c r="I1828" i="5"/>
  <c r="I1829" i="5"/>
  <c r="I1830" i="5"/>
  <c r="I1831" i="5"/>
  <c r="I1832" i="5"/>
  <c r="I1833" i="5"/>
  <c r="I1834" i="5"/>
  <c r="I1835" i="5"/>
  <c r="I1836" i="5"/>
  <c r="I1837" i="5"/>
  <c r="I1838" i="5"/>
  <c r="I1839" i="5"/>
  <c r="I1840" i="5"/>
  <c r="I1841" i="5"/>
  <c r="I1842" i="5"/>
  <c r="I1843" i="5"/>
  <c r="I1844" i="5"/>
  <c r="I1845" i="5"/>
  <c r="I1846" i="5"/>
  <c r="I1847" i="5"/>
  <c r="I1848" i="5"/>
  <c r="I1849" i="5"/>
  <c r="I1850" i="5"/>
  <c r="I1851" i="5"/>
  <c r="I1852" i="5"/>
  <c r="I1853" i="5"/>
  <c r="I1854" i="5"/>
  <c r="I1855" i="5"/>
  <c r="I1856" i="5"/>
  <c r="I1857" i="5"/>
  <c r="I1858" i="5"/>
  <c r="I1859" i="5"/>
  <c r="I1860" i="5"/>
  <c r="I1861" i="5"/>
  <c r="I1862" i="5"/>
  <c r="I1863" i="5"/>
  <c r="I1864" i="5"/>
  <c r="I1865" i="5"/>
  <c r="I1866" i="5"/>
  <c r="I1867" i="5"/>
  <c r="I1868" i="5"/>
  <c r="I1869" i="5"/>
  <c r="I1870" i="5"/>
  <c r="I1871" i="5"/>
  <c r="I1872" i="5"/>
  <c r="I1873" i="5"/>
  <c r="I1874" i="5"/>
  <c r="I1875" i="5"/>
  <c r="I1876" i="5"/>
  <c r="I1877" i="5"/>
  <c r="I1878" i="5"/>
  <c r="I1879" i="5"/>
  <c r="I1880" i="5"/>
  <c r="I1881" i="5"/>
  <c r="I1882" i="5"/>
  <c r="I1883" i="5"/>
  <c r="I1884" i="5"/>
  <c r="I1885" i="5"/>
  <c r="I1886" i="5"/>
  <c r="I1887" i="5"/>
  <c r="I1888" i="5"/>
  <c r="I1889" i="5"/>
  <c r="I1890" i="5"/>
  <c r="I1891" i="5"/>
  <c r="I1892" i="5"/>
  <c r="I1893" i="5"/>
  <c r="I1894" i="5"/>
  <c r="I1895" i="5"/>
  <c r="I1896" i="5"/>
  <c r="I1897" i="5"/>
  <c r="I1898" i="5"/>
  <c r="I1899" i="5"/>
  <c r="I1900" i="5"/>
  <c r="I1901" i="5"/>
  <c r="I1902" i="5"/>
  <c r="I1903" i="5"/>
  <c r="I1904" i="5"/>
  <c r="I1905" i="5"/>
  <c r="I1906" i="5"/>
  <c r="I1907" i="5"/>
  <c r="I1908" i="5"/>
  <c r="I1909" i="5"/>
  <c r="I1910" i="5"/>
  <c r="I1911" i="5"/>
  <c r="I1912" i="5"/>
  <c r="I1913" i="5"/>
  <c r="I1914" i="5"/>
  <c r="I1915" i="5"/>
  <c r="I1916" i="5"/>
  <c r="I1917" i="5"/>
  <c r="I1918" i="5"/>
  <c r="I1919" i="5"/>
  <c r="I1920" i="5"/>
  <c r="I1921" i="5"/>
  <c r="I1922" i="5"/>
  <c r="I1923" i="5"/>
  <c r="I1924" i="5"/>
  <c r="I1925" i="5"/>
  <c r="I1926" i="5"/>
  <c r="I1927" i="5"/>
  <c r="I1928" i="5"/>
  <c r="I1929" i="5"/>
  <c r="I1930" i="5"/>
  <c r="I1931" i="5"/>
  <c r="I1932" i="5"/>
  <c r="I1933" i="5"/>
  <c r="I1934" i="5"/>
  <c r="I1935" i="5"/>
  <c r="I1936" i="5"/>
  <c r="I1937" i="5"/>
  <c r="I1938" i="5"/>
  <c r="I1939" i="5"/>
  <c r="I1940" i="5"/>
  <c r="I1941" i="5"/>
  <c r="I1942" i="5"/>
  <c r="I1943" i="5"/>
  <c r="I1944" i="5"/>
  <c r="I1945" i="5"/>
  <c r="I1946" i="5"/>
  <c r="I1947" i="5"/>
  <c r="I1948" i="5"/>
  <c r="I1949" i="5"/>
  <c r="I1950" i="5"/>
  <c r="I1951" i="5"/>
  <c r="I1952" i="5"/>
  <c r="I1953" i="5"/>
  <c r="I1954" i="5"/>
  <c r="I1955" i="5"/>
  <c r="I1956" i="5"/>
  <c r="I1957" i="5"/>
  <c r="I1958" i="5"/>
  <c r="I1959" i="5"/>
  <c r="I1960" i="5"/>
  <c r="I1961" i="5"/>
  <c r="I1962" i="5"/>
  <c r="I1963" i="5"/>
  <c r="I1964" i="5"/>
  <c r="I1965" i="5"/>
  <c r="I1966" i="5"/>
  <c r="I1967" i="5"/>
  <c r="I1968" i="5"/>
  <c r="I1969" i="5"/>
  <c r="I1970" i="5"/>
  <c r="I1971" i="5"/>
  <c r="I1972" i="5"/>
  <c r="I1973" i="5"/>
  <c r="I1974" i="5"/>
  <c r="I1975" i="5"/>
  <c r="I1976" i="5"/>
  <c r="I1977" i="5"/>
  <c r="I1978" i="5"/>
  <c r="I1979" i="5"/>
  <c r="I1980" i="5"/>
  <c r="I1981" i="5"/>
  <c r="I1982" i="5"/>
  <c r="I1983" i="5"/>
  <c r="I1984" i="5"/>
  <c r="I1985" i="5"/>
  <c r="I1986" i="5"/>
  <c r="I1987" i="5"/>
  <c r="I1988" i="5"/>
  <c r="I1989" i="5"/>
  <c r="I1990" i="5"/>
  <c r="I1991" i="5"/>
  <c r="I1992" i="5"/>
  <c r="I1993" i="5"/>
  <c r="I1994" i="5"/>
  <c r="I1995" i="5"/>
  <c r="I1996" i="5"/>
  <c r="I1997" i="5"/>
  <c r="I1998" i="5"/>
  <c r="I1999" i="5"/>
  <c r="I2000" i="5"/>
  <c r="I2001" i="5"/>
  <c r="I2002" i="5"/>
  <c r="I2003" i="5"/>
  <c r="I2004" i="5"/>
  <c r="I2005" i="5"/>
  <c r="I2006" i="5"/>
  <c r="I2007" i="5"/>
  <c r="I2008" i="5"/>
  <c r="I2009" i="5"/>
  <c r="I2010" i="5"/>
  <c r="I2011" i="5"/>
  <c r="I2012" i="5"/>
  <c r="I2013" i="5"/>
  <c r="I2014" i="5"/>
  <c r="I2015" i="5"/>
  <c r="I2016" i="5"/>
  <c r="I2017" i="5"/>
  <c r="I2018" i="5"/>
  <c r="I2019" i="5"/>
  <c r="I2020" i="5"/>
  <c r="I2021" i="5"/>
  <c r="I2022" i="5"/>
  <c r="I2023" i="5"/>
  <c r="I2024" i="5"/>
  <c r="I2025" i="5"/>
  <c r="I2026" i="5"/>
  <c r="I2027" i="5"/>
  <c r="I2028" i="5"/>
  <c r="I2029" i="5"/>
  <c r="I2030" i="5"/>
  <c r="I2031" i="5"/>
  <c r="I2032" i="5"/>
  <c r="I2033" i="5"/>
  <c r="I2034" i="5"/>
  <c r="I2035" i="5"/>
  <c r="I2036" i="5"/>
  <c r="I2037" i="5"/>
  <c r="I2038" i="5"/>
  <c r="I2039" i="5"/>
  <c r="I2040" i="5"/>
  <c r="I2041" i="5"/>
  <c r="I2042" i="5"/>
  <c r="I2043" i="5"/>
  <c r="I2044" i="5"/>
  <c r="I2045" i="5"/>
  <c r="I2046" i="5"/>
  <c r="I2047" i="5"/>
  <c r="I2048" i="5"/>
  <c r="I2049" i="5"/>
  <c r="I2050" i="5"/>
  <c r="I2051" i="5"/>
  <c r="I2052" i="5"/>
  <c r="I2053" i="5"/>
  <c r="I6" i="5"/>
  <c r="J6" i="5" s="1"/>
  <c r="D7" i="5" l="1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6" i="5"/>
  <c r="C22" i="2" l="1"/>
  <c r="C21" i="2"/>
  <c r="C20" i="2"/>
  <c r="C48" i="2"/>
  <c r="C46" i="2"/>
  <c r="C50" i="2" l="1"/>
  <c r="C51" i="2" s="1"/>
  <c r="C32" i="2"/>
  <c r="C34" i="2" s="1"/>
  <c r="C36" i="2" s="1"/>
  <c r="C37" i="2" s="1"/>
  <c r="C14" i="2"/>
  <c r="C31" i="2" l="1"/>
  <c r="C19" i="2"/>
  <c r="C23" i="2" s="1"/>
  <c r="C24" i="2" s="1"/>
  <c r="C18" i="2"/>
  <c r="C13" i="2" l="1"/>
  <c r="C7" i="2"/>
  <c r="C9" i="2" s="1"/>
  <c r="C11" i="2" s="1"/>
</calcChain>
</file>

<file path=xl/sharedStrings.xml><?xml version="1.0" encoding="utf-8"?>
<sst xmlns="http://schemas.openxmlformats.org/spreadsheetml/2006/main" count="82" uniqueCount="49">
  <si>
    <t>Fcy</t>
  </si>
  <si>
    <t>Primary Clock</t>
  </si>
  <si>
    <t>Input Frequency</t>
  </si>
  <si>
    <t>N1</t>
  </si>
  <si>
    <t>N2</t>
  </si>
  <si>
    <t>M</t>
  </si>
  <si>
    <t>Fin/N1</t>
  </si>
  <si>
    <t>MHz</t>
  </si>
  <si>
    <t>(Fin/N1)*M</t>
  </si>
  <si>
    <t>(Fin/N1)*M/N2</t>
  </si>
  <si>
    <t>MIPS</t>
  </si>
  <si>
    <t xml:space="preserve">*Used Excel solver to arrive at the numbers above </t>
  </si>
  <si>
    <t>Desired Sample Rate</t>
  </si>
  <si>
    <t>Required Clock Rate</t>
  </si>
  <si>
    <t>Desired DACFDIV</t>
  </si>
  <si>
    <t>Rounded DACFDIV</t>
  </si>
  <si>
    <t>Actual Clock Rate</t>
  </si>
  <si>
    <t>Actual Sample Rate</t>
  </si>
  <si>
    <t>kHZ</t>
  </si>
  <si>
    <t>DAC Clock</t>
  </si>
  <si>
    <t>TAD (min)</t>
  </si>
  <si>
    <t>ns</t>
  </si>
  <si>
    <t>TAD</t>
  </si>
  <si>
    <t>Tsamp (min)</t>
  </si>
  <si>
    <t>Tcy</t>
  </si>
  <si>
    <t>TAD (actual)</t>
  </si>
  <si>
    <t>Tconv (typ)</t>
  </si>
  <si>
    <t>ADCS (min)</t>
  </si>
  <si>
    <t>ADCS (actual)</t>
  </si>
  <si>
    <t>Tsamp (actual)</t>
  </si>
  <si>
    <t xml:space="preserve">TAD </t>
  </si>
  <si>
    <t>Sample Rate (typ)</t>
  </si>
  <si>
    <t>Period (typ)</t>
  </si>
  <si>
    <t>kHz</t>
  </si>
  <si>
    <t>ADC Clock (deriving from system)</t>
  </si>
  <si>
    <t>ADC Clock (deriving from RC_ADC)</t>
  </si>
  <si>
    <t>UART BAUD</t>
  </si>
  <si>
    <t>Max Value</t>
  </si>
  <si>
    <t>Min Value</t>
  </si>
  <si>
    <t>800k</t>
  </si>
  <si>
    <t>8M</t>
  </si>
  <si>
    <t>100M</t>
  </si>
  <si>
    <t>200M</t>
  </si>
  <si>
    <t>DACFDIV</t>
  </si>
  <si>
    <t>Sample Rate (kHz)</t>
  </si>
  <si>
    <t>Tsamp</t>
  </si>
  <si>
    <t>ADCS</t>
  </si>
  <si>
    <t>Period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</si>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</sst>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Liberation Sans"/>
    </font>
    <font>
      <b/>
      <i/>
      <sz val="16"/>
      <color theme="1"/>
      <name val="Liberation Sans"/>
    </font>
    <font>
      <b/>
      <i/>
      <u/>
      <sz val="11"/>
      <color theme="1"/>
      <name val="Liberation Sans"/>
    </font>
    <font>
      <b/>
      <sz val="11"/>
      <color theme="1"/>
      <name val="Liberation Sans"/>
    </font>
    <font>
      <sz val="9"/>
      <color theme="1"/>
      <name val="Liberation Sans"/>
    </font>
    <font>
      <sz val="11"/>
      <color rgb="FF000000"/>
      <name val="Liberation Sans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>
      <alignment horizontal="center"/>
    </xf>
    <xf numFmtId="0" fontId="1" fillId="0" borderId="0">
      <alignment horizontal="center" textRotation="90"/>
    </xf>
    <xf numFmtId="0" fontId="2" fillId="0" borderId="0"/>
    <xf numFmtId="0" fontId="2" fillId="0" borderId="0"/>
  </cellStyleXfs>
  <cellXfs count="36">
    <xf numFmtId="0" fontId="0" fillId="0" borderId="0" xfId="0"/>
    <xf numFmtId="0" fontId="3" fillId="0" borderId="0" xfId="0" applyFont="1"/>
    <xf numFmtId="0" fontId="4" fillId="0" borderId="0" xfId="0" applyFont="1"/>
    <xf numFmtId="0" fontId="0" fillId="2" borderId="1" xfId="0" applyFill="1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3" borderId="0" xfId="0" applyFill="1" applyBorder="1"/>
    <xf numFmtId="0" fontId="3" fillId="3" borderId="0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6" xfId="0" applyFill="1" applyBorder="1"/>
    <xf numFmtId="0" fontId="0" fillId="0" borderId="0" xfId="0" applyFill="1" applyBorder="1"/>
    <xf numFmtId="0" fontId="0" fillId="3" borderId="4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3" borderId="9" xfId="0" applyFill="1" applyBorder="1"/>
    <xf numFmtId="0" fontId="0" fillId="0" borderId="11" xfId="0" applyFill="1" applyBorder="1"/>
    <xf numFmtId="0" fontId="0" fillId="0" borderId="12" xfId="0" applyFill="1" applyBorder="1"/>
    <xf numFmtId="0" fontId="0" fillId="3" borderId="0" xfId="0" applyFont="1" applyFill="1" applyBorder="1"/>
    <xf numFmtId="0" fontId="3" fillId="4" borderId="9" xfId="0" applyFont="1" applyFill="1" applyBorder="1"/>
    <xf numFmtId="0" fontId="3" fillId="4" borderId="12" xfId="0" applyFont="1" applyFill="1" applyBorder="1"/>
    <xf numFmtId="0" fontId="0" fillId="0" borderId="1" xfId="0" applyBorder="1"/>
    <xf numFmtId="0" fontId="3" fillId="6" borderId="0" xfId="0" applyFont="1" applyFill="1"/>
    <xf numFmtId="0" fontId="0" fillId="0" borderId="0" xfId="0" applyFont="1"/>
    <xf numFmtId="0" fontId="3" fillId="0" borderId="1" xfId="0" applyFont="1" applyBorder="1"/>
    <xf numFmtId="0" fontId="3" fillId="4" borderId="1" xfId="0" applyFont="1" applyFill="1" applyBorder="1"/>
    <xf numFmtId="0" fontId="3" fillId="5" borderId="1" xfId="0" applyFont="1" applyFill="1" applyBorder="1"/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5">
    <dxf>
      <font>
        <color rgb="FF9C0006"/>
      </font>
      <fill>
        <patternFill>
          <bgColor rgb="FFFFC7CE"/>
        </patternFill>
      </fill>
    </dxf>
    <dxf>
      <font>
        <b/>
        <i/>
      </font>
    </dxf>
    <dxf>
      <font>
        <b/>
        <i/>
      </font>
    </dxf>
    <dxf>
      <font>
        <b/>
        <i/>
      </font>
    </dxf>
    <dxf>
      <font>
        <b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323850</xdr:colOff>
      <xdr:row>2</xdr:row>
      <xdr:rowOff>19049</xdr:rowOff>
    </xdr:from>
    <xdr:to>
      <xdr:col>17</xdr:col>
      <xdr:colOff>190500</xdr:colOff>
      <xdr:row>27</xdr:row>
      <xdr:rowOff>42211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0" y="380999"/>
          <a:ext cx="6724650" cy="4699937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304801</xdr:colOff>
      <xdr:row>28</xdr:row>
      <xdr:rowOff>104775</xdr:rowOff>
    </xdr:from>
    <xdr:to>
      <xdr:col>19</xdr:col>
      <xdr:colOff>164597</xdr:colOff>
      <xdr:row>66</xdr:row>
      <xdr:rowOff>24493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0351" y="5257800"/>
          <a:ext cx="8089396" cy="688657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923925</xdr:colOff>
      <xdr:row>2</xdr:row>
      <xdr:rowOff>19050</xdr:rowOff>
    </xdr:from>
    <xdr:to>
      <xdr:col>7</xdr:col>
      <xdr:colOff>314325</xdr:colOff>
      <xdr:row>3</xdr:row>
      <xdr:rowOff>171450</xdr:rowOff>
    </xdr:to>
    <xdr:cxnSp macro="">
      <xdr:nvCxnSpPr>
        <xdr:cNvPr id="5" name="Straight Arrow Connector 4"/>
        <xdr:cNvCxnSpPr/>
      </xdr:nvCxnSpPr>
      <xdr:spPr>
        <a:xfrm flipV="1">
          <a:off x="5610225" y="381000"/>
          <a:ext cx="1009650" cy="333375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27</xdr:row>
      <xdr:rowOff>9525</xdr:rowOff>
    </xdr:from>
    <xdr:to>
      <xdr:col>7</xdr:col>
      <xdr:colOff>276225</xdr:colOff>
      <xdr:row>28</xdr:row>
      <xdr:rowOff>104775</xdr:rowOff>
    </xdr:to>
    <xdr:cxnSp macro="">
      <xdr:nvCxnSpPr>
        <xdr:cNvPr id="6" name="Straight Arrow Connector 5"/>
        <xdr:cNvCxnSpPr/>
      </xdr:nvCxnSpPr>
      <xdr:spPr>
        <a:xfrm>
          <a:off x="5619750" y="5038725"/>
          <a:ext cx="962025" cy="276225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17</xdr:col>
      <xdr:colOff>261257</xdr:colOff>
      <xdr:row>2</xdr:row>
      <xdr:rowOff>19050</xdr:rowOff>
    </xdr:from>
    <xdr:to>
      <xdr:col>21</xdr:col>
      <xdr:colOff>665389</xdr:colOff>
      <xdr:row>23</xdr:row>
      <xdr:rowOff>156482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4936" y="372836"/>
          <a:ext cx="3125560" cy="4015467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66674</xdr:colOff>
      <xdr:row>2</xdr:row>
      <xdr:rowOff>12246</xdr:rowOff>
    </xdr:from>
    <xdr:to>
      <xdr:col>32</xdr:col>
      <xdr:colOff>19049</xdr:colOff>
      <xdr:row>20</xdr:row>
      <xdr:rowOff>63953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72138" y="366032"/>
          <a:ext cx="6755947" cy="337185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312964</xdr:colOff>
      <xdr:row>66</xdr:row>
      <xdr:rowOff>176892</xdr:rowOff>
    </xdr:from>
    <xdr:to>
      <xdr:col>18</xdr:col>
      <xdr:colOff>42181</xdr:colOff>
      <xdr:row>109</xdr:row>
      <xdr:rowOff>48985</xdr:rowOff>
    </xdr:to>
    <xdr:pic>
      <xdr:nvPicPr>
        <xdr:cNvPr id="10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3071" y="12178392"/>
          <a:ext cx="7213146" cy="7492093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27214</xdr:colOff>
      <xdr:row>61</xdr:row>
      <xdr:rowOff>176893</xdr:rowOff>
    </xdr:from>
    <xdr:to>
      <xdr:col>7</xdr:col>
      <xdr:colOff>258536</xdr:colOff>
      <xdr:row>67</xdr:row>
      <xdr:rowOff>68036</xdr:rowOff>
    </xdr:to>
    <xdr:cxnSp macro="">
      <xdr:nvCxnSpPr>
        <xdr:cNvPr id="11" name="Straight Arrow Connector 10"/>
        <xdr:cNvCxnSpPr/>
      </xdr:nvCxnSpPr>
      <xdr:spPr>
        <a:xfrm>
          <a:off x="5646964" y="11293929"/>
          <a:ext cx="911679" cy="966107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142875</xdr:rowOff>
        </xdr:from>
        <xdr:to>
          <xdr:col>7</xdr:col>
          <xdr:colOff>676275</xdr:colOff>
          <xdr:row>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Liberation Sans"/>
                </a:rPr>
                <a:t>Calculate ADC Rates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F72"/>
  <sheetViews>
    <sheetView zoomScaleNormal="100" workbookViewId="0">
      <selection activeCell="C36" sqref="C36"/>
    </sheetView>
  </sheetViews>
  <sheetFormatPr defaultRowHeight="14.25"/>
  <cols>
    <col min="2" max="2" width="18.875" bestFit="1" customWidth="1"/>
    <col min="3" max="3" width="12.375" bestFit="1" customWidth="1"/>
    <col min="5" max="5" width="12.25" customWidth="1"/>
    <col min="6" max="6" width="12.25" bestFit="1" customWidth="1"/>
  </cols>
  <sheetData>
    <row r="4" spans="2:6" ht="15.75" thickBot="1">
      <c r="B4" s="1" t="s">
        <v>1</v>
      </c>
      <c r="D4" s="2"/>
      <c r="E4" t="s">
        <v>38</v>
      </c>
      <c r="F4" t="s">
        <v>37</v>
      </c>
    </row>
    <row r="5" spans="2:6">
      <c r="B5" s="4" t="s">
        <v>2</v>
      </c>
      <c r="C5" s="5">
        <v>12</v>
      </c>
      <c r="D5" s="6" t="s">
        <v>7</v>
      </c>
      <c r="E5" s="6"/>
      <c r="F5" s="7"/>
    </row>
    <row r="6" spans="2:6">
      <c r="B6" s="8" t="s">
        <v>3</v>
      </c>
      <c r="C6" s="3">
        <v>3</v>
      </c>
      <c r="D6" s="9"/>
      <c r="E6" s="9"/>
      <c r="F6" s="10"/>
    </row>
    <row r="7" spans="2:6">
      <c r="B7" s="8" t="s">
        <v>6</v>
      </c>
      <c r="C7" s="11">
        <f>C5/C6</f>
        <v>4</v>
      </c>
      <c r="D7" s="9" t="s">
        <v>7</v>
      </c>
      <c r="E7" s="9" t="s">
        <v>39</v>
      </c>
      <c r="F7" s="10" t="s">
        <v>40</v>
      </c>
    </row>
    <row r="8" spans="2:6">
      <c r="B8" s="8" t="s">
        <v>5</v>
      </c>
      <c r="C8" s="3">
        <v>40</v>
      </c>
      <c r="D8" s="9"/>
      <c r="E8" s="9"/>
      <c r="F8" s="10"/>
    </row>
    <row r="9" spans="2:6">
      <c r="B9" s="8" t="s">
        <v>8</v>
      </c>
      <c r="C9" s="11">
        <f>C7*C8</f>
        <v>160</v>
      </c>
      <c r="D9" s="9" t="s">
        <v>7</v>
      </c>
      <c r="E9" s="9" t="s">
        <v>41</v>
      </c>
      <c r="F9" s="10" t="s">
        <v>42</v>
      </c>
    </row>
    <row r="10" spans="2:6">
      <c r="B10" s="8" t="s">
        <v>4</v>
      </c>
      <c r="C10" s="3">
        <v>2</v>
      </c>
      <c r="D10" s="9"/>
      <c r="E10" s="9"/>
      <c r="F10" s="10"/>
    </row>
    <row r="11" spans="2:6" ht="15">
      <c r="B11" s="8" t="s">
        <v>9</v>
      </c>
      <c r="C11" s="12">
        <f>C9/C10</f>
        <v>80</v>
      </c>
      <c r="D11" s="9" t="s">
        <v>7</v>
      </c>
      <c r="E11" s="9"/>
      <c r="F11" s="10"/>
    </row>
    <row r="12" spans="2:6" ht="15" thickBot="1">
      <c r="B12" s="8"/>
      <c r="C12" s="9"/>
      <c r="D12" s="9"/>
      <c r="E12" s="9"/>
      <c r="F12" s="10"/>
    </row>
    <row r="13" spans="2:6" ht="15.75" thickBot="1">
      <c r="B13" s="21" t="s">
        <v>0</v>
      </c>
      <c r="C13" s="29">
        <f>C11/2</f>
        <v>40</v>
      </c>
      <c r="D13" s="22" t="s">
        <v>10</v>
      </c>
      <c r="E13" s="22"/>
      <c r="F13" s="23"/>
    </row>
    <row r="14" spans="2:6" ht="15.75" thickBot="1">
      <c r="B14" s="19" t="s">
        <v>24</v>
      </c>
      <c r="C14" s="28">
        <f>1/(C13/1000)</f>
        <v>25</v>
      </c>
      <c r="D14" s="20" t="s">
        <v>21</v>
      </c>
      <c r="E14" s="14"/>
      <c r="F14" s="15"/>
    </row>
    <row r="15" spans="2:6">
      <c r="B15" t="s">
        <v>11</v>
      </c>
    </row>
    <row r="16" spans="2:6" ht="15.75" thickBot="1">
      <c r="B16" s="1" t="s">
        <v>19</v>
      </c>
      <c r="E16" t="s">
        <v>38</v>
      </c>
      <c r="F16" t="s">
        <v>37</v>
      </c>
    </row>
    <row r="17" spans="2:6">
      <c r="B17" s="4" t="s">
        <v>12</v>
      </c>
      <c r="C17" s="5">
        <v>44.1</v>
      </c>
      <c r="D17" s="6" t="s">
        <v>18</v>
      </c>
      <c r="E17" s="6"/>
      <c r="F17" s="7"/>
    </row>
    <row r="18" spans="2:6">
      <c r="B18" s="8"/>
      <c r="C18" s="11">
        <f>C17/1000</f>
        <v>4.41E-2</v>
      </c>
      <c r="D18" s="9" t="s">
        <v>7</v>
      </c>
      <c r="E18" s="9"/>
      <c r="F18" s="10"/>
    </row>
    <row r="19" spans="2:6">
      <c r="B19" s="8" t="s">
        <v>13</v>
      </c>
      <c r="C19" s="11">
        <f>C18*256</f>
        <v>11.2896</v>
      </c>
      <c r="D19" s="9" t="s">
        <v>7</v>
      </c>
      <c r="E19" s="9"/>
      <c r="F19" s="10"/>
    </row>
    <row r="20" spans="2:6">
      <c r="B20" s="8" t="s">
        <v>14</v>
      </c>
      <c r="C20" s="11">
        <f>C9/C19</f>
        <v>14.172335600907029</v>
      </c>
      <c r="D20" s="9"/>
      <c r="E20" s="9"/>
      <c r="F20" s="10"/>
    </row>
    <row r="21" spans="2:6" ht="15">
      <c r="B21" s="8" t="s">
        <v>15</v>
      </c>
      <c r="C21" s="12">
        <f>ROUNDUP(C20, 0)</f>
        <v>15</v>
      </c>
      <c r="D21" s="9"/>
      <c r="E21" s="9">
        <v>1</v>
      </c>
      <c r="F21" s="10">
        <v>128</v>
      </c>
    </row>
    <row r="22" spans="2:6">
      <c r="B22" s="8" t="s">
        <v>16</v>
      </c>
      <c r="C22" s="11">
        <f>C9/C21</f>
        <v>10.666666666666666</v>
      </c>
      <c r="D22" s="9"/>
      <c r="E22" s="9"/>
      <c r="F22" s="10"/>
    </row>
    <row r="23" spans="2:6" ht="15" thickBot="1">
      <c r="B23" s="13" t="s">
        <v>17</v>
      </c>
      <c r="C23" s="24">
        <f>C22/256</f>
        <v>4.1666666666666664E-2</v>
      </c>
      <c r="D23" s="14"/>
      <c r="E23" s="14"/>
      <c r="F23" s="15"/>
    </row>
    <row r="24" spans="2:6" ht="15.75" thickBot="1">
      <c r="B24" s="13"/>
      <c r="C24" s="28">
        <f>C23*1000</f>
        <v>41.666666666666664</v>
      </c>
      <c r="D24" s="14" t="s">
        <v>18</v>
      </c>
      <c r="E24" s="14"/>
      <c r="F24" s="15"/>
    </row>
    <row r="27" spans="2:6" ht="15.75" thickBot="1">
      <c r="B27" s="1" t="s">
        <v>34</v>
      </c>
    </row>
    <row r="28" spans="2:6">
      <c r="B28" s="4" t="s">
        <v>20</v>
      </c>
      <c r="C28" s="18">
        <v>117.6</v>
      </c>
      <c r="D28" s="6" t="s">
        <v>21</v>
      </c>
      <c r="E28" s="6"/>
      <c r="F28" s="7"/>
    </row>
    <row r="29" spans="2:6">
      <c r="B29" s="8" t="s">
        <v>23</v>
      </c>
      <c r="C29" s="11">
        <v>3</v>
      </c>
      <c r="D29" s="9" t="s">
        <v>22</v>
      </c>
      <c r="E29" s="9"/>
      <c r="F29" s="10"/>
    </row>
    <row r="30" spans="2:6">
      <c r="B30" s="16" t="s">
        <v>29</v>
      </c>
      <c r="C30" s="3">
        <v>5</v>
      </c>
      <c r="D30" s="9" t="s">
        <v>30</v>
      </c>
      <c r="E30" s="9">
        <v>0</v>
      </c>
      <c r="F30" s="10">
        <v>31</v>
      </c>
    </row>
    <row r="31" spans="2:6">
      <c r="B31" s="8" t="s">
        <v>24</v>
      </c>
      <c r="C31" s="11">
        <f>C14</f>
        <v>25</v>
      </c>
      <c r="D31" s="9" t="s">
        <v>21</v>
      </c>
      <c r="E31" s="9"/>
      <c r="F31" s="10"/>
    </row>
    <row r="32" spans="2:6">
      <c r="B32" s="16" t="s">
        <v>27</v>
      </c>
      <c r="C32" s="11">
        <f>C28/C31</f>
        <v>4.7039999999999997</v>
      </c>
      <c r="D32" s="9"/>
      <c r="E32" s="9"/>
      <c r="F32" s="10"/>
    </row>
    <row r="33" spans="2:6">
      <c r="B33" s="16" t="s">
        <v>28</v>
      </c>
      <c r="C33" s="3">
        <v>50</v>
      </c>
      <c r="D33" s="9"/>
      <c r="E33" s="9">
        <v>1</v>
      </c>
      <c r="F33" s="10">
        <v>64</v>
      </c>
    </row>
    <row r="34" spans="2:6">
      <c r="B34" s="8" t="s">
        <v>25</v>
      </c>
      <c r="C34" s="11">
        <f>C33*C14</f>
        <v>1250</v>
      </c>
      <c r="D34" s="17" t="s">
        <v>21</v>
      </c>
      <c r="E34" s="9"/>
      <c r="F34" s="10"/>
    </row>
    <row r="35" spans="2:6">
      <c r="B35" s="8" t="s">
        <v>26</v>
      </c>
      <c r="C35" s="11">
        <v>14</v>
      </c>
      <c r="D35" s="17" t="s">
        <v>22</v>
      </c>
      <c r="E35" s="9"/>
      <c r="F35" s="10"/>
    </row>
    <row r="36" spans="2:6" ht="15" thickBot="1">
      <c r="B36" s="8" t="s">
        <v>32</v>
      </c>
      <c r="C36" s="27">
        <f>(C35+C30)*C34</f>
        <v>23750</v>
      </c>
      <c r="D36" s="17" t="s">
        <v>21</v>
      </c>
      <c r="E36" s="9"/>
      <c r="F36" s="10"/>
    </row>
    <row r="37" spans="2:6" ht="15.75" thickBot="1">
      <c r="B37" s="25" t="s">
        <v>31</v>
      </c>
      <c r="C37" s="29">
        <f>1/(C36*10^-6)</f>
        <v>42.10526315789474</v>
      </c>
      <c r="D37" s="26" t="s">
        <v>33</v>
      </c>
      <c r="E37" s="22"/>
      <c r="F37" s="23"/>
    </row>
    <row r="41" spans="2:6" ht="15.75" thickBot="1">
      <c r="B41" s="1" t="s">
        <v>35</v>
      </c>
    </row>
    <row r="42" spans="2:6">
      <c r="B42" s="4" t="s">
        <v>20</v>
      </c>
      <c r="C42" s="18">
        <v>117.6</v>
      </c>
      <c r="D42" s="6" t="s">
        <v>21</v>
      </c>
      <c r="E42" s="6"/>
      <c r="F42" s="7"/>
    </row>
    <row r="43" spans="2:6">
      <c r="B43" s="8" t="s">
        <v>23</v>
      </c>
      <c r="C43" s="11">
        <v>3</v>
      </c>
      <c r="D43" s="9" t="s">
        <v>22</v>
      </c>
      <c r="E43" s="9"/>
      <c r="F43" s="10"/>
    </row>
    <row r="44" spans="2:6">
      <c r="B44" s="16" t="s">
        <v>29</v>
      </c>
      <c r="C44" s="3">
        <v>5</v>
      </c>
      <c r="D44" s="9" t="s">
        <v>30</v>
      </c>
      <c r="E44" s="9"/>
      <c r="F44" s="10"/>
    </row>
    <row r="45" spans="2:6">
      <c r="B45" s="8" t="s">
        <v>24</v>
      </c>
      <c r="C45" s="11">
        <v>250</v>
      </c>
      <c r="D45" s="9" t="s">
        <v>21</v>
      </c>
      <c r="E45" s="9"/>
      <c r="F45" s="10"/>
    </row>
    <row r="46" spans="2:6">
      <c r="B46" s="16" t="s">
        <v>27</v>
      </c>
      <c r="C46" s="11">
        <f>C42/C45</f>
        <v>0.47039999999999998</v>
      </c>
      <c r="D46" s="9"/>
      <c r="E46" s="9"/>
      <c r="F46" s="10"/>
    </row>
    <row r="47" spans="2:6">
      <c r="B47" s="16" t="s">
        <v>28</v>
      </c>
      <c r="C47" s="3">
        <v>5</v>
      </c>
      <c r="D47" s="9"/>
      <c r="E47" s="9"/>
      <c r="F47" s="10"/>
    </row>
    <row r="48" spans="2:6">
      <c r="B48" s="8" t="s">
        <v>25</v>
      </c>
      <c r="C48" s="11">
        <f>C47*C45</f>
        <v>1250</v>
      </c>
      <c r="D48" s="17" t="s">
        <v>21</v>
      </c>
      <c r="E48" s="9"/>
      <c r="F48" s="10"/>
    </row>
    <row r="49" spans="2:6">
      <c r="B49" s="8" t="s">
        <v>26</v>
      </c>
      <c r="C49" s="11">
        <v>14</v>
      </c>
      <c r="D49" s="17" t="s">
        <v>22</v>
      </c>
      <c r="E49" s="9"/>
      <c r="F49" s="10"/>
    </row>
    <row r="50" spans="2:6" ht="15" thickBot="1">
      <c r="B50" s="8" t="s">
        <v>32</v>
      </c>
      <c r="C50" s="27">
        <f>(C49+C44)*C48</f>
        <v>23750</v>
      </c>
      <c r="D50" s="17" t="s">
        <v>21</v>
      </c>
      <c r="E50" s="9"/>
      <c r="F50" s="10"/>
    </row>
    <row r="51" spans="2:6" ht="15.75" thickBot="1">
      <c r="B51" s="25" t="s">
        <v>31</v>
      </c>
      <c r="C51" s="29">
        <f>1/(C50*10^-6)</f>
        <v>42.10526315789474</v>
      </c>
      <c r="D51" s="26" t="s">
        <v>33</v>
      </c>
      <c r="E51" s="22"/>
      <c r="F51" s="23"/>
    </row>
    <row r="62" spans="2:6" ht="15" thickBot="1">
      <c r="B62" t="s">
        <v>36</v>
      </c>
    </row>
    <row r="63" spans="2:6">
      <c r="B63" s="4"/>
      <c r="C63" s="6"/>
      <c r="D63" s="6"/>
      <c r="E63" s="6"/>
      <c r="F63" s="7"/>
    </row>
    <row r="64" spans="2:6">
      <c r="B64" s="8"/>
      <c r="C64" s="9"/>
      <c r="D64" s="9"/>
      <c r="E64" s="9"/>
      <c r="F64" s="10"/>
    </row>
    <row r="65" spans="2:6">
      <c r="B65" s="8"/>
      <c r="C65" s="9"/>
      <c r="D65" s="9"/>
      <c r="E65" s="9"/>
      <c r="F65" s="10"/>
    </row>
    <row r="66" spans="2:6">
      <c r="B66" s="8"/>
      <c r="C66" s="9"/>
      <c r="D66" s="9"/>
      <c r="E66" s="9"/>
      <c r="F66" s="10"/>
    </row>
    <row r="67" spans="2:6">
      <c r="B67" s="8"/>
      <c r="C67" s="9"/>
      <c r="D67" s="9"/>
      <c r="E67" s="9"/>
      <c r="F67" s="10"/>
    </row>
    <row r="68" spans="2:6">
      <c r="B68" s="8"/>
      <c r="C68" s="9"/>
      <c r="D68" s="9"/>
      <c r="E68" s="9"/>
      <c r="F68" s="10"/>
    </row>
    <row r="69" spans="2:6">
      <c r="B69" s="8"/>
      <c r="C69" s="9"/>
      <c r="D69" s="9"/>
      <c r="E69" s="9"/>
      <c r="F69" s="10"/>
    </row>
    <row r="70" spans="2:6">
      <c r="B70" s="8"/>
      <c r="C70" s="9"/>
      <c r="D70" s="9"/>
      <c r="E70" s="9"/>
      <c r="F70" s="10"/>
    </row>
    <row r="71" spans="2:6">
      <c r="B71" s="8"/>
      <c r="C71" s="9"/>
      <c r="D71" s="9"/>
      <c r="E71" s="9"/>
      <c r="F71" s="10"/>
    </row>
    <row r="72" spans="2:6" ht="15" thickBot="1">
      <c r="B72" s="13"/>
      <c r="C72" s="14"/>
      <c r="D72" s="14"/>
      <c r="E72" s="14"/>
      <c r="F72" s="15"/>
    </row>
  </sheetData>
  <pageMargins left="0.7" right="0.7" top="0.75" bottom="0.75" header="0.3" footer="0.3"/>
  <pageSetup orientation="portrait" r:id="rId1"/>
  <ignoredErrors>
    <ignoredError sqref="C21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5:J2053"/>
  <sheetViews>
    <sheetView tabSelected="1" workbookViewId="0">
      <selection activeCell="L21" sqref="L21"/>
    </sheetView>
  </sheetViews>
  <sheetFormatPr defaultRowHeight="14.25"/>
  <cols>
    <col min="3" max="3" width="8.875" bestFit="1" customWidth="1"/>
    <col min="4" max="4" width="17.375" bestFit="1" customWidth="1"/>
    <col min="8" max="8" width="9" customWidth="1"/>
  </cols>
  <sheetData>
    <row r="5" spans="3:10" ht="15">
      <c r="C5" s="31" t="s">
        <v>43</v>
      </c>
      <c r="D5" s="32" t="s">
        <v>44</v>
      </c>
      <c r="F5" s="31" t="s">
        <v>45</v>
      </c>
      <c r="G5" s="31" t="s">
        <v>46</v>
      </c>
      <c r="H5" t="s">
        <v>22</v>
      </c>
      <c r="I5" t="s">
        <v>47</v>
      </c>
      <c r="J5" s="32" t="s">
        <v>48</v>
      </c>
    </row>
    <row r="6" spans="3:10" ht="15">
      <c r="C6" s="30">
        <v>1</v>
      </c>
      <c r="D6" s="33">
        <f>(160/256/C6)*1000</f>
        <v>625</v>
      </c>
      <c r="F6" s="30">
        <v>0</v>
      </c>
      <c r="G6" s="30">
        <v>1</v>
      </c>
      <c r="H6" s="30">
        <v>25</v>
      </c>
      <c r="I6" s="30">
        <f>(14+F6)*H6</f>
        <v>350</v>
      </c>
      <c r="J6" s="33">
        <f>(1/I6)*1000000</f>
        <v>2857.1428571428573</v>
      </c>
    </row>
    <row r="7" spans="3:10" ht="15">
      <c r="C7" s="30">
        <v>2</v>
      </c>
      <c r="D7" s="33">
        <f>(160/256/C7)*1000</f>
        <v>312.5</v>
      </c>
      <c r="F7" s="30">
        <v>0</v>
      </c>
      <c r="G7" s="30">
        <v>2</v>
      </c>
      <c r="H7" s="30">
        <v>50</v>
      </c>
      <c r="I7" s="30">
        <f>(14+F7)*H7</f>
        <v>700</v>
      </c>
      <c r="J7" s="33">
        <f>(1/I7)*1000000</f>
        <v>1428.5714285714287</v>
      </c>
    </row>
    <row r="8" spans="3:10" ht="15">
      <c r="C8" s="30">
        <v>3</v>
      </c>
      <c r="D8" s="33">
        <f>(160/256/C8)*1000</f>
        <v>208.33333333333334</v>
      </c>
      <c r="F8" s="30">
        <v>0</v>
      </c>
      <c r="G8" s="30">
        <v>3</v>
      </c>
      <c r="H8" s="30">
        <v>75</v>
      </c>
      <c r="I8" s="30">
        <f>(14+F8)*H8</f>
        <v>1050</v>
      </c>
      <c r="J8" s="33">
        <f>(1/I8)*1000000</f>
        <v>952.38095238095241</v>
      </c>
    </row>
    <row r="9" spans="3:10" ht="15">
      <c r="C9" s="30">
        <v>4</v>
      </c>
      <c r="D9" s="33">
        <f>(160/256/C9)*1000</f>
        <v>156.25</v>
      </c>
      <c r="F9" s="30">
        <v>0</v>
      </c>
      <c r="G9" s="30">
        <v>4</v>
      </c>
      <c r="H9" s="30">
        <v>100</v>
      </c>
      <c r="I9" s="30">
        <f>(14+F9)*H9</f>
        <v>1400</v>
      </c>
      <c r="J9" s="33">
        <f>(1/I9)*1000000</f>
        <v>714.28571428571433</v>
      </c>
    </row>
    <row r="10" spans="3:10" ht="15">
      <c r="C10" s="30">
        <v>5</v>
      </c>
      <c r="D10" s="33">
        <f>(160/256/C10)*1000</f>
        <v>125</v>
      </c>
      <c r="F10" s="30">
        <v>0</v>
      </c>
      <c r="G10" s="30">
        <v>5</v>
      </c>
      <c r="H10" s="30">
        <v>125</v>
      </c>
      <c r="I10" s="30">
        <f>(14+F10)*H10</f>
        <v>1750</v>
      </c>
      <c r="J10" s="33">
        <f>(1/I10)*1000000</f>
        <v>571.42857142857144</v>
      </c>
    </row>
    <row r="11" spans="3:10" ht="15">
      <c r="C11" s="30">
        <v>6</v>
      </c>
      <c r="D11" s="33">
        <f>(160/256/C11)*1000</f>
        <v>104.16666666666667</v>
      </c>
      <c r="F11" s="30">
        <v>0</v>
      </c>
      <c r="G11" s="30">
        <v>6</v>
      </c>
      <c r="H11" s="30">
        <v>150</v>
      </c>
      <c r="I11" s="30">
        <f>(14+F11)*H11</f>
        <v>2100</v>
      </c>
      <c r="J11" s="33">
        <f>(1/I11)*1000000</f>
        <v>476.1904761904762</v>
      </c>
    </row>
    <row r="12" spans="3:10" ht="15">
      <c r="C12" s="30">
        <v>7</v>
      </c>
      <c r="D12" s="33">
        <f>(160/256/C12)*1000</f>
        <v>89.285714285714292</v>
      </c>
      <c r="F12" s="30">
        <v>0</v>
      </c>
      <c r="G12" s="30">
        <v>7</v>
      </c>
      <c r="H12" s="30">
        <v>175</v>
      </c>
      <c r="I12" s="30">
        <f>(14+F12)*H12</f>
        <v>2450</v>
      </c>
      <c r="J12" s="33">
        <f>(1/I12)*1000000</f>
        <v>408.16326530612247</v>
      </c>
    </row>
    <row r="13" spans="3:10" ht="15">
      <c r="C13" s="30">
        <v>8</v>
      </c>
      <c r="D13" s="33">
        <f>(160/256/C13)*1000</f>
        <v>78.125</v>
      </c>
      <c r="F13" s="30">
        <v>0</v>
      </c>
      <c r="G13" s="30">
        <v>8</v>
      </c>
      <c r="H13" s="30">
        <v>200</v>
      </c>
      <c r="I13" s="30">
        <f>(14+F13)*H13</f>
        <v>2800</v>
      </c>
      <c r="J13" s="33">
        <f>(1/I13)*1000000</f>
        <v>357.14285714285717</v>
      </c>
    </row>
    <row r="14" spans="3:10" ht="15">
      <c r="C14" s="30">
        <v>9</v>
      </c>
      <c r="D14" s="33">
        <f>(160/256/C14)*1000</f>
        <v>69.444444444444443</v>
      </c>
      <c r="F14" s="30">
        <v>0</v>
      </c>
      <c r="G14" s="30">
        <v>9</v>
      </c>
      <c r="H14" s="30">
        <v>225</v>
      </c>
      <c r="I14" s="30">
        <f>(14+F14)*H14</f>
        <v>3150</v>
      </c>
      <c r="J14" s="33">
        <f>(1/I14)*1000000</f>
        <v>317.46031746031747</v>
      </c>
    </row>
    <row r="15" spans="3:10" ht="15">
      <c r="C15" s="30">
        <v>10</v>
      </c>
      <c r="D15" s="33">
        <f>(160/256/C15)*1000</f>
        <v>62.5</v>
      </c>
      <c r="F15" s="30">
        <v>0</v>
      </c>
      <c r="G15" s="30">
        <v>10</v>
      </c>
      <c r="H15" s="30">
        <v>250</v>
      </c>
      <c r="I15" s="30">
        <f>(14+F15)*H15</f>
        <v>3500</v>
      </c>
      <c r="J15" s="33">
        <f>(1/I15)*1000000</f>
        <v>285.71428571428572</v>
      </c>
    </row>
    <row r="16" spans="3:10" ht="15">
      <c r="C16" s="30">
        <v>11</v>
      </c>
      <c r="D16" s="33">
        <f>(160/256/C16)*1000</f>
        <v>56.818181818181813</v>
      </c>
      <c r="F16" s="30">
        <v>0</v>
      </c>
      <c r="G16" s="30">
        <v>11</v>
      </c>
      <c r="H16" s="30">
        <v>275</v>
      </c>
      <c r="I16" s="30">
        <f>(14+F16)*H16</f>
        <v>3850</v>
      </c>
      <c r="J16" s="33">
        <f>(1/I16)*1000000</f>
        <v>259.74025974025972</v>
      </c>
    </row>
    <row r="17" spans="3:10" ht="15">
      <c r="C17" s="30">
        <v>12</v>
      </c>
      <c r="D17" s="33">
        <f>(160/256/C17)*1000</f>
        <v>52.083333333333336</v>
      </c>
      <c r="F17" s="30">
        <v>0</v>
      </c>
      <c r="G17" s="30">
        <v>12</v>
      </c>
      <c r="H17" s="30">
        <v>300</v>
      </c>
      <c r="I17" s="30">
        <f>(14+F17)*H17</f>
        <v>4200</v>
      </c>
      <c r="J17" s="33">
        <f>(1/I17)*1000000</f>
        <v>238.0952380952381</v>
      </c>
    </row>
    <row r="18" spans="3:10" ht="15">
      <c r="C18" s="30">
        <v>13</v>
      </c>
      <c r="D18" s="33">
        <f>(160/256/C18)*1000</f>
        <v>48.07692307692308</v>
      </c>
      <c r="F18" s="30">
        <v>0</v>
      </c>
      <c r="G18" s="30">
        <v>13</v>
      </c>
      <c r="H18" s="30">
        <v>325</v>
      </c>
      <c r="I18" s="30">
        <f>(14+F18)*H18</f>
        <v>4550</v>
      </c>
      <c r="J18" s="33">
        <f>(1/I18)*1000000</f>
        <v>219.78021978021977</v>
      </c>
    </row>
    <row r="19" spans="3:10" ht="15">
      <c r="C19" s="30">
        <v>14</v>
      </c>
      <c r="D19" s="33">
        <f>(160/256/C19)*1000</f>
        <v>44.642857142857146</v>
      </c>
      <c r="F19" s="30">
        <v>0</v>
      </c>
      <c r="G19" s="30">
        <v>14</v>
      </c>
      <c r="H19" s="30">
        <v>350</v>
      </c>
      <c r="I19" s="30">
        <f>(14+F19)*H19</f>
        <v>4900</v>
      </c>
      <c r="J19" s="33">
        <f>(1/I19)*1000000</f>
        <v>204.08163265306123</v>
      </c>
    </row>
    <row r="20" spans="3:10" ht="15">
      <c r="C20" s="30">
        <v>15</v>
      </c>
      <c r="D20" s="33">
        <f>(160/256/C20)*1000</f>
        <v>41.666666666666664</v>
      </c>
      <c r="F20" s="30">
        <v>0</v>
      </c>
      <c r="G20" s="30">
        <v>15</v>
      </c>
      <c r="H20" s="30">
        <v>375</v>
      </c>
      <c r="I20" s="30">
        <f>(14+F20)*H20</f>
        <v>5250</v>
      </c>
      <c r="J20" s="33">
        <f>(1/I20)*1000000</f>
        <v>190.47619047619048</v>
      </c>
    </row>
    <row r="21" spans="3:10" ht="15">
      <c r="C21" s="30">
        <v>16</v>
      </c>
      <c r="D21" s="33">
        <f>(160/256/C21)*1000</f>
        <v>39.0625</v>
      </c>
      <c r="F21" s="30">
        <v>0</v>
      </c>
      <c r="G21" s="30">
        <v>16</v>
      </c>
      <c r="H21" s="30">
        <v>400</v>
      </c>
      <c r="I21" s="30">
        <f>(14+F21)*H21</f>
        <v>5600</v>
      </c>
      <c r="J21" s="33">
        <f>(1/I21)*1000000</f>
        <v>178.57142857142858</v>
      </c>
    </row>
    <row r="22" spans="3:10" ht="15">
      <c r="C22" s="30">
        <v>17</v>
      </c>
      <c r="D22" s="33">
        <f>(160/256/C22)*1000</f>
        <v>36.764705882352942</v>
      </c>
      <c r="F22" s="30">
        <v>0</v>
      </c>
      <c r="G22" s="30">
        <v>17</v>
      </c>
      <c r="H22" s="30">
        <v>425</v>
      </c>
      <c r="I22" s="30">
        <f>(14+F22)*H22</f>
        <v>5950</v>
      </c>
      <c r="J22" s="33">
        <f>(1/I22)*1000000</f>
        <v>168.0672268907563</v>
      </c>
    </row>
    <row r="23" spans="3:10" ht="15">
      <c r="C23" s="30">
        <v>18</v>
      </c>
      <c r="D23" s="33">
        <f>(160/256/C23)*1000</f>
        <v>34.722222222222221</v>
      </c>
      <c r="F23" s="30">
        <v>0</v>
      </c>
      <c r="G23" s="30">
        <v>18</v>
      </c>
      <c r="H23" s="30">
        <v>450</v>
      </c>
      <c r="I23" s="30">
        <f>(14+F23)*H23</f>
        <v>6300</v>
      </c>
      <c r="J23" s="33">
        <f>(1/I23)*1000000</f>
        <v>158.73015873015873</v>
      </c>
    </row>
    <row r="24" spans="3:10" ht="15">
      <c r="C24" s="30">
        <v>19</v>
      </c>
      <c r="D24" s="33">
        <f>(160/256/C24)*1000</f>
        <v>32.89473684210526</v>
      </c>
      <c r="F24" s="30">
        <v>0</v>
      </c>
      <c r="G24" s="30">
        <v>19</v>
      </c>
      <c r="H24" s="30">
        <v>475</v>
      </c>
      <c r="I24" s="30">
        <f>(14+F24)*H24</f>
        <v>6650</v>
      </c>
      <c r="J24" s="33">
        <f>(1/I24)*1000000</f>
        <v>150.37593984962405</v>
      </c>
    </row>
    <row r="25" spans="3:10" ht="15">
      <c r="C25" s="30">
        <v>20</v>
      </c>
      <c r="D25" s="34">
        <f>(160/256/C25)*1000</f>
        <v>31.25</v>
      </c>
      <c r="F25" s="30">
        <v>0</v>
      </c>
      <c r="G25" s="30">
        <v>20</v>
      </c>
      <c r="H25" s="30">
        <v>500</v>
      </c>
      <c r="I25" s="30">
        <f>(14+F25)*H25</f>
        <v>7000</v>
      </c>
      <c r="J25" s="33">
        <f>(1/I25)*1000000</f>
        <v>142.85714285714286</v>
      </c>
    </row>
    <row r="26" spans="3:10" ht="15">
      <c r="C26" s="30">
        <v>21</v>
      </c>
      <c r="D26" s="33">
        <f>(160/256/C26)*1000</f>
        <v>29.761904761904759</v>
      </c>
      <c r="F26" s="30">
        <v>0</v>
      </c>
      <c r="G26" s="30">
        <v>21</v>
      </c>
      <c r="H26" s="30">
        <v>525</v>
      </c>
      <c r="I26" s="30">
        <f>(14+F26)*H26</f>
        <v>7350</v>
      </c>
      <c r="J26" s="33">
        <f>(1/I26)*1000000</f>
        <v>136.05442176870747</v>
      </c>
    </row>
    <row r="27" spans="3:10" ht="15">
      <c r="C27" s="30">
        <v>22</v>
      </c>
      <c r="D27" s="33">
        <f>(160/256/C27)*1000</f>
        <v>28.409090909090907</v>
      </c>
      <c r="F27" s="30">
        <v>0</v>
      </c>
      <c r="G27" s="30">
        <v>22</v>
      </c>
      <c r="H27" s="30">
        <v>550</v>
      </c>
      <c r="I27" s="30">
        <f>(14+F27)*H27</f>
        <v>7700</v>
      </c>
      <c r="J27" s="33">
        <f>(1/I27)*1000000</f>
        <v>129.87012987012986</v>
      </c>
    </row>
    <row r="28" spans="3:10" ht="15">
      <c r="C28" s="30">
        <v>23</v>
      </c>
      <c r="D28" s="33">
        <f>(160/256/C28)*1000</f>
        <v>27.173913043478262</v>
      </c>
      <c r="F28" s="30">
        <v>0</v>
      </c>
      <c r="G28" s="30">
        <v>23</v>
      </c>
      <c r="H28" s="30">
        <v>575</v>
      </c>
      <c r="I28" s="30">
        <f>(14+F28)*H28</f>
        <v>8050</v>
      </c>
      <c r="J28" s="33">
        <f>(1/I28)*1000000</f>
        <v>124.22360248447205</v>
      </c>
    </row>
    <row r="29" spans="3:10" ht="15">
      <c r="C29" s="30">
        <v>24</v>
      </c>
      <c r="D29" s="33">
        <f>(160/256/C29)*1000</f>
        <v>26.041666666666668</v>
      </c>
      <c r="F29" s="30">
        <v>0</v>
      </c>
      <c r="G29" s="30">
        <v>24</v>
      </c>
      <c r="H29" s="30">
        <v>600</v>
      </c>
      <c r="I29" s="30">
        <f>(14+F29)*H29</f>
        <v>8400</v>
      </c>
      <c r="J29" s="33">
        <f>(1/I29)*1000000</f>
        <v>119.04761904761905</v>
      </c>
    </row>
    <row r="30" spans="3:10" ht="15">
      <c r="C30" s="30">
        <v>25</v>
      </c>
      <c r="D30" s="35">
        <f>(160/256/C30)*1000</f>
        <v>25</v>
      </c>
      <c r="F30" s="30">
        <v>0</v>
      </c>
      <c r="G30" s="30">
        <v>25</v>
      </c>
      <c r="H30" s="30">
        <v>625</v>
      </c>
      <c r="I30" s="30">
        <f>(14+F30)*H30</f>
        <v>8750</v>
      </c>
      <c r="J30" s="33">
        <f>(1/I30)*1000000</f>
        <v>114.28571428571428</v>
      </c>
    </row>
    <row r="31" spans="3:10" ht="15">
      <c r="C31" s="30">
        <v>26</v>
      </c>
      <c r="D31" s="33">
        <f>(160/256/C31)*1000</f>
        <v>24.03846153846154</v>
      </c>
      <c r="F31" s="30">
        <v>0</v>
      </c>
      <c r="G31" s="30">
        <v>26</v>
      </c>
      <c r="H31" s="30">
        <v>650</v>
      </c>
      <c r="I31" s="30">
        <f>(14+F31)*H31</f>
        <v>9100</v>
      </c>
      <c r="J31" s="33">
        <f>(1/I31)*1000000</f>
        <v>109.89010989010988</v>
      </c>
    </row>
    <row r="32" spans="3:10" ht="15">
      <c r="C32" s="30">
        <v>27</v>
      </c>
      <c r="D32" s="33">
        <f>(160/256/C32)*1000</f>
        <v>23.148148148148145</v>
      </c>
      <c r="F32" s="30">
        <v>0</v>
      </c>
      <c r="G32" s="30">
        <v>27</v>
      </c>
      <c r="H32" s="30">
        <v>675</v>
      </c>
      <c r="I32" s="30">
        <f>(14+F32)*H32</f>
        <v>9450</v>
      </c>
      <c r="J32" s="33">
        <f>(1/I32)*1000000</f>
        <v>105.82010582010582</v>
      </c>
    </row>
    <row r="33" spans="3:10" ht="15">
      <c r="C33" s="30">
        <v>28</v>
      </c>
      <c r="D33" s="33">
        <f>(160/256/C33)*1000</f>
        <v>22.321428571428573</v>
      </c>
      <c r="F33" s="30">
        <v>0</v>
      </c>
      <c r="G33" s="30">
        <v>28</v>
      </c>
      <c r="H33" s="30">
        <v>700</v>
      </c>
      <c r="I33" s="30">
        <f>(14+F33)*H33</f>
        <v>9800</v>
      </c>
      <c r="J33" s="33">
        <f>(1/I33)*1000000</f>
        <v>102.04081632653062</v>
      </c>
    </row>
    <row r="34" spans="3:10" ht="15">
      <c r="C34" s="30">
        <v>29</v>
      </c>
      <c r="D34" s="33">
        <f>(160/256/C34)*1000</f>
        <v>21.551724137931036</v>
      </c>
      <c r="F34" s="30">
        <v>0</v>
      </c>
      <c r="G34" s="30">
        <v>29</v>
      </c>
      <c r="H34" s="30">
        <v>725</v>
      </c>
      <c r="I34" s="30">
        <f>(14+F34)*H34</f>
        <v>10150</v>
      </c>
      <c r="J34" s="33">
        <f>(1/I34)*1000000</f>
        <v>98.52216748768474</v>
      </c>
    </row>
    <row r="35" spans="3:10" ht="15">
      <c r="C35" s="30">
        <v>30</v>
      </c>
      <c r="D35" s="33">
        <f>(160/256/C35)*1000</f>
        <v>20.833333333333332</v>
      </c>
      <c r="F35" s="30">
        <v>0</v>
      </c>
      <c r="G35" s="30">
        <v>30</v>
      </c>
      <c r="H35" s="30">
        <v>750</v>
      </c>
      <c r="I35" s="30">
        <f>(14+F35)*H35</f>
        <v>10500</v>
      </c>
      <c r="J35" s="33">
        <f>(1/I35)*1000000</f>
        <v>95.238095238095241</v>
      </c>
    </row>
    <row r="36" spans="3:10" ht="15">
      <c r="C36" s="30">
        <v>31</v>
      </c>
      <c r="D36" s="33">
        <f>(160/256/C36)*1000</f>
        <v>20.161290322580644</v>
      </c>
      <c r="F36" s="30">
        <v>0</v>
      </c>
      <c r="G36" s="30">
        <v>31</v>
      </c>
      <c r="H36" s="30">
        <v>775</v>
      </c>
      <c r="I36" s="30">
        <f>(14+F36)*H36</f>
        <v>10850</v>
      </c>
      <c r="J36" s="33">
        <f>(1/I36)*1000000</f>
        <v>92.165898617511516</v>
      </c>
    </row>
    <row r="37" spans="3:10" ht="15">
      <c r="C37" s="30">
        <v>32</v>
      </c>
      <c r="D37" s="33">
        <f>(160/256/C37)*1000</f>
        <v>19.53125</v>
      </c>
      <c r="F37" s="30">
        <v>0</v>
      </c>
      <c r="G37" s="30">
        <v>32</v>
      </c>
      <c r="H37" s="30">
        <v>800</v>
      </c>
      <c r="I37" s="30">
        <f>(14+F37)*H37</f>
        <v>11200</v>
      </c>
      <c r="J37" s="33">
        <f>(1/I37)*1000000</f>
        <v>89.285714285714292</v>
      </c>
    </row>
    <row r="38" spans="3:10" ht="15">
      <c r="C38" s="30">
        <v>33</v>
      </c>
      <c r="D38" s="33">
        <f>(160/256/C38)*1000</f>
        <v>18.939393939393941</v>
      </c>
      <c r="F38" s="30">
        <v>0</v>
      </c>
      <c r="G38" s="30">
        <v>33</v>
      </c>
      <c r="H38" s="30">
        <v>825</v>
      </c>
      <c r="I38" s="30">
        <f>(14+F38)*H38</f>
        <v>11550</v>
      </c>
      <c r="J38" s="33">
        <f>(1/I38)*1000000</f>
        <v>86.580086580086586</v>
      </c>
    </row>
    <row r="39" spans="3:10" ht="15">
      <c r="C39" s="30">
        <v>34</v>
      </c>
      <c r="D39" s="33">
        <f>(160/256/C39)*1000</f>
        <v>18.382352941176471</v>
      </c>
      <c r="F39" s="30">
        <v>0</v>
      </c>
      <c r="G39" s="30">
        <v>34</v>
      </c>
      <c r="H39" s="30">
        <v>850</v>
      </c>
      <c r="I39" s="30">
        <f>(14+F39)*H39</f>
        <v>11900</v>
      </c>
      <c r="J39" s="33">
        <f>(1/I39)*1000000</f>
        <v>84.033613445378151</v>
      </c>
    </row>
    <row r="40" spans="3:10" ht="15">
      <c r="C40" s="30">
        <v>35</v>
      </c>
      <c r="D40" s="33">
        <f>(160/256/C40)*1000</f>
        <v>17.857142857142858</v>
      </c>
      <c r="F40" s="30">
        <v>0</v>
      </c>
      <c r="G40" s="30">
        <v>35</v>
      </c>
      <c r="H40" s="30">
        <v>875</v>
      </c>
      <c r="I40" s="30">
        <f>(14+F40)*H40</f>
        <v>12250</v>
      </c>
      <c r="J40" s="33">
        <f>(1/I40)*1000000</f>
        <v>81.632653061224488</v>
      </c>
    </row>
    <row r="41" spans="3:10" ht="15">
      <c r="C41" s="30">
        <v>36</v>
      </c>
      <c r="D41" s="33">
        <f>(160/256/C41)*1000</f>
        <v>17.361111111111111</v>
      </c>
      <c r="F41" s="30">
        <v>0</v>
      </c>
      <c r="G41" s="30">
        <v>36</v>
      </c>
      <c r="H41" s="30">
        <v>900</v>
      </c>
      <c r="I41" s="30">
        <f>(14+F41)*H41</f>
        <v>12600</v>
      </c>
      <c r="J41" s="33">
        <f>(1/I41)*1000000</f>
        <v>79.365079365079367</v>
      </c>
    </row>
    <row r="42" spans="3:10" ht="15">
      <c r="C42" s="30">
        <v>37</v>
      </c>
      <c r="D42" s="33">
        <f>(160/256/C42)*1000</f>
        <v>16.891891891891891</v>
      </c>
      <c r="F42" s="30">
        <v>0</v>
      </c>
      <c r="G42" s="30">
        <v>37</v>
      </c>
      <c r="H42" s="30">
        <v>925</v>
      </c>
      <c r="I42" s="30">
        <f>(14+F42)*H42</f>
        <v>12950</v>
      </c>
      <c r="J42" s="33">
        <f>(1/I42)*1000000</f>
        <v>77.220077220077229</v>
      </c>
    </row>
    <row r="43" spans="3:10" ht="15">
      <c r="C43" s="30">
        <v>38</v>
      </c>
      <c r="D43" s="33">
        <f>(160/256/C43)*1000</f>
        <v>16.44736842105263</v>
      </c>
      <c r="F43" s="30">
        <v>0</v>
      </c>
      <c r="G43" s="30">
        <v>38</v>
      </c>
      <c r="H43" s="30">
        <v>950</v>
      </c>
      <c r="I43" s="30">
        <f>(14+F43)*H43</f>
        <v>13300</v>
      </c>
      <c r="J43" s="33">
        <f>(1/I43)*1000000</f>
        <v>75.187969924812023</v>
      </c>
    </row>
    <row r="44" spans="3:10" ht="15">
      <c r="C44" s="30">
        <v>39</v>
      </c>
      <c r="D44" s="33">
        <f>(160/256/C44)*1000</f>
        <v>16.025641025641026</v>
      </c>
      <c r="F44" s="30">
        <v>0</v>
      </c>
      <c r="G44" s="30">
        <v>39</v>
      </c>
      <c r="H44" s="30">
        <v>975</v>
      </c>
      <c r="I44" s="30">
        <f>(14+F44)*H44</f>
        <v>13650</v>
      </c>
      <c r="J44" s="33">
        <f>(1/I44)*1000000</f>
        <v>73.260073260073256</v>
      </c>
    </row>
    <row r="45" spans="3:10" ht="15">
      <c r="C45" s="30">
        <v>40</v>
      </c>
      <c r="D45" s="33">
        <f>(160/256/C45)*1000</f>
        <v>15.625</v>
      </c>
      <c r="F45" s="30">
        <v>0</v>
      </c>
      <c r="G45" s="30">
        <v>40</v>
      </c>
      <c r="H45" s="30">
        <v>1000</v>
      </c>
      <c r="I45" s="30">
        <f>(14+F45)*H45</f>
        <v>14000</v>
      </c>
      <c r="J45" s="33">
        <f>(1/I45)*1000000</f>
        <v>71.428571428571431</v>
      </c>
    </row>
    <row r="46" spans="3:10" ht="15">
      <c r="C46" s="30">
        <v>41</v>
      </c>
      <c r="D46" s="33">
        <f>(160/256/C46)*1000</f>
        <v>15.24390243902439</v>
      </c>
      <c r="F46" s="30">
        <v>0</v>
      </c>
      <c r="G46" s="30">
        <v>41</v>
      </c>
      <c r="H46" s="30">
        <v>1025</v>
      </c>
      <c r="I46" s="30">
        <f>(14+F46)*H46</f>
        <v>14350</v>
      </c>
      <c r="J46" s="33">
        <f>(1/I46)*1000000</f>
        <v>69.686411149825787</v>
      </c>
    </row>
    <row r="47" spans="3:10" ht="15">
      <c r="C47" s="30">
        <v>42</v>
      </c>
      <c r="D47" s="33">
        <f>(160/256/C47)*1000</f>
        <v>14.88095238095238</v>
      </c>
      <c r="F47" s="30">
        <v>0</v>
      </c>
      <c r="G47" s="30">
        <v>42</v>
      </c>
      <c r="H47" s="30">
        <v>1050</v>
      </c>
      <c r="I47" s="30">
        <f>(14+F47)*H47</f>
        <v>14700</v>
      </c>
      <c r="J47" s="33">
        <f>(1/I47)*1000000</f>
        <v>68.027210884353735</v>
      </c>
    </row>
    <row r="48" spans="3:10" ht="15">
      <c r="C48" s="30">
        <v>43</v>
      </c>
      <c r="D48" s="33">
        <f>(160/256/C48)*1000</f>
        <v>14.534883720930232</v>
      </c>
      <c r="F48" s="30">
        <v>0</v>
      </c>
      <c r="G48" s="30">
        <v>43</v>
      </c>
      <c r="H48" s="30">
        <v>1075</v>
      </c>
      <c r="I48" s="30">
        <f>(14+F48)*H48</f>
        <v>15050</v>
      </c>
      <c r="J48" s="33">
        <f>(1/I48)*1000000</f>
        <v>66.44518272425249</v>
      </c>
    </row>
    <row r="49" spans="3:10" ht="15">
      <c r="C49" s="30">
        <v>44</v>
      </c>
      <c r="D49" s="33">
        <f>(160/256/C49)*1000</f>
        <v>14.204545454545453</v>
      </c>
      <c r="F49" s="30">
        <v>0</v>
      </c>
      <c r="G49" s="30">
        <v>44</v>
      </c>
      <c r="H49" s="30">
        <v>1100</v>
      </c>
      <c r="I49" s="30">
        <f>(14+F49)*H49</f>
        <v>15400</v>
      </c>
      <c r="J49" s="33">
        <f>(1/I49)*1000000</f>
        <v>64.935064935064929</v>
      </c>
    </row>
    <row r="50" spans="3:10" ht="15">
      <c r="C50" s="30">
        <v>45</v>
      </c>
      <c r="D50" s="33">
        <f>(160/256/C50)*1000</f>
        <v>13.888888888888888</v>
      </c>
      <c r="F50" s="30">
        <v>0</v>
      </c>
      <c r="G50" s="30">
        <v>45</v>
      </c>
      <c r="H50" s="30">
        <v>1125</v>
      </c>
      <c r="I50" s="30">
        <f>(14+F50)*H50</f>
        <v>15750</v>
      </c>
      <c r="J50" s="33">
        <f>(1/I50)*1000000</f>
        <v>63.492063492063487</v>
      </c>
    </row>
    <row r="51" spans="3:10" ht="15">
      <c r="C51" s="30">
        <v>46</v>
      </c>
      <c r="D51" s="33">
        <f>(160/256/C51)*1000</f>
        <v>13.586956521739131</v>
      </c>
      <c r="F51" s="30">
        <v>0</v>
      </c>
      <c r="G51" s="30">
        <v>46</v>
      </c>
      <c r="H51" s="30">
        <v>1150</v>
      </c>
      <c r="I51" s="30">
        <f>(14+F51)*H51</f>
        <v>16100</v>
      </c>
      <c r="J51" s="33">
        <f>(1/I51)*1000000</f>
        <v>62.111801242236027</v>
      </c>
    </row>
    <row r="52" spans="3:10" ht="15">
      <c r="C52" s="30">
        <v>47</v>
      </c>
      <c r="D52" s="33">
        <f>(160/256/C52)*1000</f>
        <v>13.297872340425531</v>
      </c>
      <c r="F52" s="30">
        <v>0</v>
      </c>
      <c r="G52" s="30">
        <v>47</v>
      </c>
      <c r="H52" s="30">
        <v>1175</v>
      </c>
      <c r="I52" s="30">
        <f>(14+F52)*H52</f>
        <v>16450</v>
      </c>
      <c r="J52" s="33">
        <f>(1/I52)*1000000</f>
        <v>60.790273556231007</v>
      </c>
    </row>
    <row r="53" spans="3:10" ht="15">
      <c r="C53" s="30">
        <v>48</v>
      </c>
      <c r="D53" s="33">
        <f>(160/256/C53)*1000</f>
        <v>13.020833333333334</v>
      </c>
      <c r="F53" s="30">
        <v>0</v>
      </c>
      <c r="G53" s="30">
        <v>48</v>
      </c>
      <c r="H53" s="30">
        <v>1200</v>
      </c>
      <c r="I53" s="30">
        <f>(14+F53)*H53</f>
        <v>16800</v>
      </c>
      <c r="J53" s="33">
        <f>(1/I53)*1000000</f>
        <v>59.523809523809526</v>
      </c>
    </row>
    <row r="54" spans="3:10" ht="15">
      <c r="C54" s="30">
        <v>49</v>
      </c>
      <c r="D54" s="33">
        <f>(160/256/C54)*1000</f>
        <v>12.755102040816327</v>
      </c>
      <c r="F54" s="30">
        <v>0</v>
      </c>
      <c r="G54" s="30">
        <v>49</v>
      </c>
      <c r="H54" s="30">
        <v>1225</v>
      </c>
      <c r="I54" s="30">
        <f>(14+F54)*H54</f>
        <v>17150</v>
      </c>
      <c r="J54" s="33">
        <f>(1/I54)*1000000</f>
        <v>58.309037900874635</v>
      </c>
    </row>
    <row r="55" spans="3:10" ht="15">
      <c r="C55" s="30">
        <v>50</v>
      </c>
      <c r="D55" s="33">
        <f>(160/256/C55)*1000</f>
        <v>12.5</v>
      </c>
      <c r="F55" s="30">
        <v>0</v>
      </c>
      <c r="G55" s="30">
        <v>50</v>
      </c>
      <c r="H55" s="30">
        <v>1250</v>
      </c>
      <c r="I55" s="30">
        <f>(14+F55)*H55</f>
        <v>17500</v>
      </c>
      <c r="J55" s="33">
        <f>(1/I55)*1000000</f>
        <v>57.142857142857139</v>
      </c>
    </row>
    <row r="56" spans="3:10" ht="15">
      <c r="C56" s="30">
        <v>51</v>
      </c>
      <c r="D56" s="33">
        <f>(160/256/C56)*1000</f>
        <v>12.254901960784313</v>
      </c>
      <c r="F56" s="30">
        <v>0</v>
      </c>
      <c r="G56" s="30">
        <v>51</v>
      </c>
      <c r="H56" s="30">
        <v>1275</v>
      </c>
      <c r="I56" s="30">
        <f>(14+F56)*H56</f>
        <v>17850</v>
      </c>
      <c r="J56" s="33">
        <f>(1/I56)*1000000</f>
        <v>56.022408963585434</v>
      </c>
    </row>
    <row r="57" spans="3:10" ht="15">
      <c r="C57" s="30">
        <v>52</v>
      </c>
      <c r="D57" s="33">
        <f>(160/256/C57)*1000</f>
        <v>12.01923076923077</v>
      </c>
      <c r="F57" s="30">
        <v>0</v>
      </c>
      <c r="G57" s="30">
        <v>52</v>
      </c>
      <c r="H57" s="30">
        <v>1300</v>
      </c>
      <c r="I57" s="30">
        <f>(14+F57)*H57</f>
        <v>18200</v>
      </c>
      <c r="J57" s="33">
        <f>(1/I57)*1000000</f>
        <v>54.945054945054942</v>
      </c>
    </row>
    <row r="58" spans="3:10" ht="15">
      <c r="C58" s="30">
        <v>53</v>
      </c>
      <c r="D58" s="33">
        <f>(160/256/C58)*1000</f>
        <v>11.79245283018868</v>
      </c>
      <c r="F58" s="30">
        <v>0</v>
      </c>
      <c r="G58" s="30">
        <v>53</v>
      </c>
      <c r="H58" s="30">
        <v>1325</v>
      </c>
      <c r="I58" s="30">
        <f>(14+F58)*H58</f>
        <v>18550</v>
      </c>
      <c r="J58" s="33">
        <f>(1/I58)*1000000</f>
        <v>53.908355795148246</v>
      </c>
    </row>
    <row r="59" spans="3:10" ht="15">
      <c r="C59" s="30">
        <v>54</v>
      </c>
      <c r="D59" s="33">
        <f>(160/256/C59)*1000</f>
        <v>11.574074074074073</v>
      </c>
      <c r="F59" s="30">
        <v>0</v>
      </c>
      <c r="G59" s="30">
        <v>54</v>
      </c>
      <c r="H59" s="30">
        <v>1350</v>
      </c>
      <c r="I59" s="30">
        <f>(14+F59)*H59</f>
        <v>18900</v>
      </c>
      <c r="J59" s="33">
        <f>(1/I59)*1000000</f>
        <v>52.910052910052912</v>
      </c>
    </row>
    <row r="60" spans="3:10" ht="15">
      <c r="C60" s="30">
        <v>55</v>
      </c>
      <c r="D60" s="33">
        <f>(160/256/C60)*1000</f>
        <v>11.363636363636363</v>
      </c>
      <c r="F60" s="30">
        <v>0</v>
      </c>
      <c r="G60" s="30">
        <v>55</v>
      </c>
      <c r="H60" s="30">
        <v>1375</v>
      </c>
      <c r="I60" s="30">
        <f>(14+F60)*H60</f>
        <v>19250</v>
      </c>
      <c r="J60" s="33">
        <f>(1/I60)*1000000</f>
        <v>51.948051948051948</v>
      </c>
    </row>
    <row r="61" spans="3:10" ht="15">
      <c r="C61" s="30">
        <v>56</v>
      </c>
      <c r="D61" s="33">
        <f>(160/256/C61)*1000</f>
        <v>11.160714285714286</v>
      </c>
      <c r="F61" s="30">
        <v>0</v>
      </c>
      <c r="G61" s="30">
        <v>56</v>
      </c>
      <c r="H61" s="30">
        <v>1400</v>
      </c>
      <c r="I61" s="30">
        <f>(14+F61)*H61</f>
        <v>19600</v>
      </c>
      <c r="J61" s="33">
        <f>(1/I61)*1000000</f>
        <v>51.020408163265309</v>
      </c>
    </row>
    <row r="62" spans="3:10" ht="15">
      <c r="C62" s="30">
        <v>57</v>
      </c>
      <c r="D62" s="33">
        <f>(160/256/C62)*1000</f>
        <v>10.964912280701753</v>
      </c>
      <c r="F62" s="30">
        <v>0</v>
      </c>
      <c r="G62" s="30">
        <v>57</v>
      </c>
      <c r="H62" s="30">
        <v>1425</v>
      </c>
      <c r="I62" s="30">
        <f>(14+F62)*H62</f>
        <v>19950</v>
      </c>
      <c r="J62" s="33">
        <f>(1/I62)*1000000</f>
        <v>50.125313283208023</v>
      </c>
    </row>
    <row r="63" spans="3:10" ht="15">
      <c r="C63" s="30">
        <v>58</v>
      </c>
      <c r="D63" s="33">
        <f>(160/256/C63)*1000</f>
        <v>10.775862068965518</v>
      </c>
      <c r="F63" s="30">
        <v>0</v>
      </c>
      <c r="G63" s="30">
        <v>58</v>
      </c>
      <c r="H63" s="30">
        <v>1450</v>
      </c>
      <c r="I63" s="30">
        <f>(14+F63)*H63</f>
        <v>20300</v>
      </c>
      <c r="J63" s="33">
        <f>(1/I63)*1000000</f>
        <v>49.26108374384237</v>
      </c>
    </row>
    <row r="64" spans="3:10" ht="15">
      <c r="C64" s="30">
        <v>59</v>
      </c>
      <c r="D64" s="33">
        <f>(160/256/C64)*1000</f>
        <v>10.59322033898305</v>
      </c>
      <c r="F64" s="30">
        <v>0</v>
      </c>
      <c r="G64" s="30">
        <v>59</v>
      </c>
      <c r="H64" s="30">
        <v>1475</v>
      </c>
      <c r="I64" s="30">
        <f>(14+F64)*H64</f>
        <v>20650</v>
      </c>
      <c r="J64" s="33">
        <f>(1/I64)*1000000</f>
        <v>48.426150121065376</v>
      </c>
    </row>
    <row r="65" spans="3:10" ht="15">
      <c r="C65" s="30">
        <v>60</v>
      </c>
      <c r="D65" s="33">
        <f>(160/256/C65)*1000</f>
        <v>10.416666666666666</v>
      </c>
      <c r="F65" s="30">
        <v>0</v>
      </c>
      <c r="G65" s="30">
        <v>60</v>
      </c>
      <c r="H65" s="30">
        <v>1500</v>
      </c>
      <c r="I65" s="30">
        <f>(14+F65)*H65</f>
        <v>21000</v>
      </c>
      <c r="J65" s="33">
        <f>(1/I65)*1000000</f>
        <v>47.61904761904762</v>
      </c>
    </row>
    <row r="66" spans="3:10" ht="15">
      <c r="C66" s="30">
        <v>61</v>
      </c>
      <c r="D66" s="33">
        <f>(160/256/C66)*1000</f>
        <v>10.245901639344261</v>
      </c>
      <c r="F66" s="30">
        <v>0</v>
      </c>
      <c r="G66" s="30">
        <v>61</v>
      </c>
      <c r="H66" s="30">
        <v>1525</v>
      </c>
      <c r="I66" s="30">
        <f>(14+F66)*H66</f>
        <v>21350</v>
      </c>
      <c r="J66" s="33">
        <f>(1/I66)*1000000</f>
        <v>46.838407494145201</v>
      </c>
    </row>
    <row r="67" spans="3:10" ht="15">
      <c r="C67" s="30">
        <v>62</v>
      </c>
      <c r="D67" s="33">
        <f>(160/256/C67)*1000</f>
        <v>10.080645161290322</v>
      </c>
      <c r="F67" s="30">
        <v>0</v>
      </c>
      <c r="G67" s="30">
        <v>62</v>
      </c>
      <c r="H67" s="30">
        <v>1550</v>
      </c>
      <c r="I67" s="30">
        <f>(14+F67)*H67</f>
        <v>21700</v>
      </c>
      <c r="J67" s="33">
        <f>(1/I67)*1000000</f>
        <v>46.082949308755758</v>
      </c>
    </row>
    <row r="68" spans="3:10" ht="15">
      <c r="C68" s="30">
        <v>63</v>
      </c>
      <c r="D68" s="33">
        <f>(160/256/C68)*1000</f>
        <v>9.9206349206349209</v>
      </c>
      <c r="F68" s="30">
        <v>0</v>
      </c>
      <c r="G68" s="30">
        <v>63</v>
      </c>
      <c r="H68" s="30">
        <v>1575</v>
      </c>
      <c r="I68" s="30">
        <f>(14+F68)*H68</f>
        <v>22050</v>
      </c>
      <c r="J68" s="33">
        <f>(1/I68)*1000000</f>
        <v>45.351473922902493</v>
      </c>
    </row>
    <row r="69" spans="3:10" ht="15">
      <c r="C69" s="30">
        <v>64</v>
      </c>
      <c r="D69" s="33">
        <f>(160/256/C69)*1000</f>
        <v>9.765625</v>
      </c>
      <c r="F69" s="30">
        <v>0</v>
      </c>
      <c r="G69" s="30">
        <v>64</v>
      </c>
      <c r="H69" s="30">
        <v>1600</v>
      </c>
      <c r="I69" s="30">
        <f>(14+F69)*H69</f>
        <v>22400</v>
      </c>
      <c r="J69" s="33">
        <f>(1/I69)*1000000</f>
        <v>44.642857142857146</v>
      </c>
    </row>
    <row r="70" spans="3:10" ht="15">
      <c r="C70" s="30">
        <v>65</v>
      </c>
      <c r="D70" s="33">
        <f>(160/256/C70)*1000</f>
        <v>9.6153846153846168</v>
      </c>
      <c r="F70" s="30">
        <v>1</v>
      </c>
      <c r="G70" s="30">
        <v>1</v>
      </c>
      <c r="H70" s="30">
        <v>25</v>
      </c>
      <c r="I70" s="30">
        <f>(14+F70)*H70</f>
        <v>375</v>
      </c>
      <c r="J70" s="33">
        <f>(1/I70)*1000000</f>
        <v>2666.6666666666665</v>
      </c>
    </row>
    <row r="71" spans="3:10" ht="15">
      <c r="C71" s="30">
        <v>66</v>
      </c>
      <c r="D71" s="33">
        <f>(160/256/C71)*1000</f>
        <v>9.4696969696969706</v>
      </c>
      <c r="F71" s="30">
        <v>1</v>
      </c>
      <c r="G71" s="30">
        <v>2</v>
      </c>
      <c r="H71" s="30">
        <v>50</v>
      </c>
      <c r="I71" s="30">
        <f>(14+F71)*H71</f>
        <v>750</v>
      </c>
      <c r="J71" s="33">
        <f>(1/I71)*1000000</f>
        <v>1333.3333333333333</v>
      </c>
    </row>
    <row r="72" spans="3:10" ht="15">
      <c r="C72" s="30">
        <v>67</v>
      </c>
      <c r="D72" s="33">
        <f>(160/256/C72)*1000</f>
        <v>9.3283582089552226</v>
      </c>
      <c r="F72" s="30">
        <v>1</v>
      </c>
      <c r="G72" s="30">
        <v>3</v>
      </c>
      <c r="H72" s="30">
        <v>75</v>
      </c>
      <c r="I72" s="30">
        <f>(14+F72)*H72</f>
        <v>1125</v>
      </c>
      <c r="J72" s="33">
        <f>(1/I72)*1000000</f>
        <v>888.88888888888891</v>
      </c>
    </row>
    <row r="73" spans="3:10" ht="15">
      <c r="C73" s="30">
        <v>68</v>
      </c>
      <c r="D73" s="33">
        <f>(160/256/C73)*1000</f>
        <v>9.1911764705882355</v>
      </c>
      <c r="F73" s="30">
        <v>1</v>
      </c>
      <c r="G73" s="30">
        <v>4</v>
      </c>
      <c r="H73" s="30">
        <v>100</v>
      </c>
      <c r="I73" s="30">
        <f>(14+F73)*H73</f>
        <v>1500</v>
      </c>
      <c r="J73" s="33">
        <f>(1/I73)*1000000</f>
        <v>666.66666666666663</v>
      </c>
    </row>
    <row r="74" spans="3:10" ht="15">
      <c r="C74" s="30">
        <v>69</v>
      </c>
      <c r="D74" s="33">
        <f>(160/256/C74)*1000</f>
        <v>9.0579710144927539</v>
      </c>
      <c r="F74" s="30">
        <v>1</v>
      </c>
      <c r="G74" s="30">
        <v>5</v>
      </c>
      <c r="H74" s="30">
        <v>125</v>
      </c>
      <c r="I74" s="30">
        <f>(14+F74)*H74</f>
        <v>1875</v>
      </c>
      <c r="J74" s="33">
        <f>(1/I74)*1000000</f>
        <v>533.33333333333337</v>
      </c>
    </row>
    <row r="75" spans="3:10" ht="15">
      <c r="C75" s="30">
        <v>70</v>
      </c>
      <c r="D75" s="33">
        <f>(160/256/C75)*1000</f>
        <v>8.9285714285714288</v>
      </c>
      <c r="F75" s="30">
        <v>1</v>
      </c>
      <c r="G75" s="30">
        <v>6</v>
      </c>
      <c r="H75" s="30">
        <v>150</v>
      </c>
      <c r="I75" s="30">
        <f>(14+F75)*H75</f>
        <v>2250</v>
      </c>
      <c r="J75" s="33">
        <f>(1/I75)*1000000</f>
        <v>444.44444444444446</v>
      </c>
    </row>
    <row r="76" spans="3:10" ht="15">
      <c r="C76" s="30">
        <v>71</v>
      </c>
      <c r="D76" s="33">
        <f>(160/256/C76)*1000</f>
        <v>8.8028169014084519</v>
      </c>
      <c r="F76" s="30">
        <v>1</v>
      </c>
      <c r="G76" s="30">
        <v>7</v>
      </c>
      <c r="H76" s="30">
        <v>175</v>
      </c>
      <c r="I76" s="30">
        <f>(14+F76)*H76</f>
        <v>2625</v>
      </c>
      <c r="J76" s="33">
        <f>(1/I76)*1000000</f>
        <v>380.95238095238096</v>
      </c>
    </row>
    <row r="77" spans="3:10" ht="15">
      <c r="C77" s="30">
        <v>72</v>
      </c>
      <c r="D77" s="33">
        <f>(160/256/C77)*1000</f>
        <v>8.6805555555555554</v>
      </c>
      <c r="F77" s="30">
        <v>1</v>
      </c>
      <c r="G77" s="30">
        <v>8</v>
      </c>
      <c r="H77" s="30">
        <v>200</v>
      </c>
      <c r="I77" s="30">
        <f>(14+F77)*H77</f>
        <v>3000</v>
      </c>
      <c r="J77" s="33">
        <f>(1/I77)*1000000</f>
        <v>333.33333333333331</v>
      </c>
    </row>
    <row r="78" spans="3:10" ht="15">
      <c r="C78" s="30">
        <v>73</v>
      </c>
      <c r="D78" s="33">
        <f>(160/256/C78)*1000</f>
        <v>8.5616438356164384</v>
      </c>
      <c r="F78" s="30">
        <v>1</v>
      </c>
      <c r="G78" s="30">
        <v>9</v>
      </c>
      <c r="H78" s="30">
        <v>225</v>
      </c>
      <c r="I78" s="30">
        <f>(14+F78)*H78</f>
        <v>3375</v>
      </c>
      <c r="J78" s="33">
        <f>(1/I78)*1000000</f>
        <v>296.2962962962963</v>
      </c>
    </row>
    <row r="79" spans="3:10" ht="15">
      <c r="C79" s="30">
        <v>74</v>
      </c>
      <c r="D79" s="33">
        <f>(160/256/C79)*1000</f>
        <v>8.4459459459459456</v>
      </c>
      <c r="F79" s="30">
        <v>1</v>
      </c>
      <c r="G79" s="30">
        <v>10</v>
      </c>
      <c r="H79" s="30">
        <v>250</v>
      </c>
      <c r="I79" s="30">
        <f>(14+F79)*H79</f>
        <v>3750</v>
      </c>
      <c r="J79" s="33">
        <f>(1/I79)*1000000</f>
        <v>266.66666666666669</v>
      </c>
    </row>
    <row r="80" spans="3:10" ht="15">
      <c r="C80" s="30">
        <v>75</v>
      </c>
      <c r="D80" s="33">
        <f>(160/256/C80)*1000</f>
        <v>8.3333333333333339</v>
      </c>
      <c r="F80" s="30">
        <v>1</v>
      </c>
      <c r="G80" s="30">
        <v>11</v>
      </c>
      <c r="H80" s="30">
        <v>275</v>
      </c>
      <c r="I80" s="30">
        <f>(14+F80)*H80</f>
        <v>4125</v>
      </c>
      <c r="J80" s="33">
        <f>(1/I80)*1000000</f>
        <v>242.42424242424241</v>
      </c>
    </row>
    <row r="81" spans="3:10" ht="15">
      <c r="C81" s="30">
        <v>76</v>
      </c>
      <c r="D81" s="33">
        <f>(160/256/C81)*1000</f>
        <v>8.223684210526315</v>
      </c>
      <c r="F81" s="30">
        <v>1</v>
      </c>
      <c r="G81" s="30">
        <v>12</v>
      </c>
      <c r="H81" s="30">
        <v>300</v>
      </c>
      <c r="I81" s="30">
        <f>(14+F81)*H81</f>
        <v>4500</v>
      </c>
      <c r="J81" s="33">
        <f>(1/I81)*1000000</f>
        <v>222.22222222222223</v>
      </c>
    </row>
    <row r="82" spans="3:10" ht="15">
      <c r="C82" s="30">
        <v>77</v>
      </c>
      <c r="D82" s="33">
        <f>(160/256/C82)*1000</f>
        <v>8.1168831168831161</v>
      </c>
      <c r="F82" s="30">
        <v>1</v>
      </c>
      <c r="G82" s="30">
        <v>13</v>
      </c>
      <c r="H82" s="30">
        <v>325</v>
      </c>
      <c r="I82" s="30">
        <f>(14+F82)*H82</f>
        <v>4875</v>
      </c>
      <c r="J82" s="33">
        <f>(1/I82)*1000000</f>
        <v>205.12820512820511</v>
      </c>
    </row>
    <row r="83" spans="3:10" ht="15">
      <c r="C83" s="30">
        <v>78</v>
      </c>
      <c r="D83" s="33">
        <f>(160/256/C83)*1000</f>
        <v>8.0128205128205128</v>
      </c>
      <c r="F83" s="30">
        <v>1</v>
      </c>
      <c r="G83" s="30">
        <v>14</v>
      </c>
      <c r="H83" s="30">
        <v>350</v>
      </c>
      <c r="I83" s="30">
        <f>(14+F83)*H83</f>
        <v>5250</v>
      </c>
      <c r="J83" s="33">
        <f>(1/I83)*1000000</f>
        <v>190.47619047619048</v>
      </c>
    </row>
    <row r="84" spans="3:10" ht="15">
      <c r="C84" s="30">
        <v>79</v>
      </c>
      <c r="D84" s="33">
        <f>(160/256/C84)*1000</f>
        <v>7.9113924050632916</v>
      </c>
      <c r="F84" s="30">
        <v>1</v>
      </c>
      <c r="G84" s="30">
        <v>15</v>
      </c>
      <c r="H84" s="30">
        <v>375</v>
      </c>
      <c r="I84" s="30">
        <f>(14+F84)*H84</f>
        <v>5625</v>
      </c>
      <c r="J84" s="33">
        <f>(1/I84)*1000000</f>
        <v>177.7777777777778</v>
      </c>
    </row>
    <row r="85" spans="3:10" ht="15">
      <c r="C85" s="30">
        <v>80</v>
      </c>
      <c r="D85" s="33">
        <f>(160/256/C85)*1000</f>
        <v>7.8125</v>
      </c>
      <c r="F85" s="30">
        <v>1</v>
      </c>
      <c r="G85" s="30">
        <v>16</v>
      </c>
      <c r="H85" s="30">
        <v>400</v>
      </c>
      <c r="I85" s="30">
        <f>(14+F85)*H85</f>
        <v>6000</v>
      </c>
      <c r="J85" s="33">
        <f>(1/I85)*1000000</f>
        <v>166.66666666666666</v>
      </c>
    </row>
    <row r="86" spans="3:10" ht="15">
      <c r="C86" s="30">
        <v>81</v>
      </c>
      <c r="D86" s="33">
        <f>(160/256/C86)*1000</f>
        <v>7.716049382716049</v>
      </c>
      <c r="F86" s="30">
        <v>1</v>
      </c>
      <c r="G86" s="30">
        <v>17</v>
      </c>
      <c r="H86" s="30">
        <v>425</v>
      </c>
      <c r="I86" s="30">
        <f>(14+F86)*H86</f>
        <v>6375</v>
      </c>
      <c r="J86" s="33">
        <f>(1/I86)*1000000</f>
        <v>156.86274509803923</v>
      </c>
    </row>
    <row r="87" spans="3:10" ht="15">
      <c r="C87" s="30">
        <v>82</v>
      </c>
      <c r="D87" s="33">
        <f>(160/256/C87)*1000</f>
        <v>7.6219512195121952</v>
      </c>
      <c r="F87" s="30">
        <v>1</v>
      </c>
      <c r="G87" s="30">
        <v>18</v>
      </c>
      <c r="H87" s="30">
        <v>450</v>
      </c>
      <c r="I87" s="30">
        <f>(14+F87)*H87</f>
        <v>6750</v>
      </c>
      <c r="J87" s="33">
        <f>(1/I87)*1000000</f>
        <v>148.14814814814815</v>
      </c>
    </row>
    <row r="88" spans="3:10" ht="15">
      <c r="C88" s="30">
        <v>83</v>
      </c>
      <c r="D88" s="33">
        <f>(160/256/C88)*1000</f>
        <v>7.5301204819277112</v>
      </c>
      <c r="F88" s="30">
        <v>1</v>
      </c>
      <c r="G88" s="30">
        <v>19</v>
      </c>
      <c r="H88" s="30">
        <v>475</v>
      </c>
      <c r="I88" s="30">
        <f>(14+F88)*H88</f>
        <v>7125</v>
      </c>
      <c r="J88" s="33">
        <f>(1/I88)*1000000</f>
        <v>140.35087719298244</v>
      </c>
    </row>
    <row r="89" spans="3:10" ht="15">
      <c r="C89" s="30">
        <v>84</v>
      </c>
      <c r="D89" s="33">
        <f>(160/256/C89)*1000</f>
        <v>7.4404761904761898</v>
      </c>
      <c r="F89" s="30">
        <v>1</v>
      </c>
      <c r="G89" s="30">
        <v>20</v>
      </c>
      <c r="H89" s="30">
        <v>500</v>
      </c>
      <c r="I89" s="30">
        <f>(14+F89)*H89</f>
        <v>7500</v>
      </c>
      <c r="J89" s="33">
        <f>(1/I89)*1000000</f>
        <v>133.33333333333334</v>
      </c>
    </row>
    <row r="90" spans="3:10" ht="15">
      <c r="C90" s="30">
        <v>85</v>
      </c>
      <c r="D90" s="33">
        <f>(160/256/C90)*1000</f>
        <v>7.3529411764705879</v>
      </c>
      <c r="F90" s="30">
        <v>1</v>
      </c>
      <c r="G90" s="30">
        <v>21</v>
      </c>
      <c r="H90" s="30">
        <v>525</v>
      </c>
      <c r="I90" s="30">
        <f>(14+F90)*H90</f>
        <v>7875</v>
      </c>
      <c r="J90" s="33">
        <f>(1/I90)*1000000</f>
        <v>126.98412698412697</v>
      </c>
    </row>
    <row r="91" spans="3:10" ht="15">
      <c r="C91" s="30">
        <v>86</v>
      </c>
      <c r="D91" s="33">
        <f>(160/256/C91)*1000</f>
        <v>7.2674418604651159</v>
      </c>
      <c r="F91" s="30">
        <v>1</v>
      </c>
      <c r="G91" s="30">
        <v>22</v>
      </c>
      <c r="H91" s="30">
        <v>550</v>
      </c>
      <c r="I91" s="30">
        <f>(14+F91)*H91</f>
        <v>8250</v>
      </c>
      <c r="J91" s="33">
        <f>(1/I91)*1000000</f>
        <v>121.2121212121212</v>
      </c>
    </row>
    <row r="92" spans="3:10" ht="15">
      <c r="C92" s="30">
        <v>87</v>
      </c>
      <c r="D92" s="33">
        <f>(160/256/C92)*1000</f>
        <v>7.1839080459770113</v>
      </c>
      <c r="F92" s="30">
        <v>1</v>
      </c>
      <c r="G92" s="30">
        <v>23</v>
      </c>
      <c r="H92" s="30">
        <v>575</v>
      </c>
      <c r="I92" s="30">
        <f>(14+F92)*H92</f>
        <v>8625</v>
      </c>
      <c r="J92" s="33">
        <f>(1/I92)*1000000</f>
        <v>115.94202898550724</v>
      </c>
    </row>
    <row r="93" spans="3:10" ht="15">
      <c r="C93" s="30">
        <v>88</v>
      </c>
      <c r="D93" s="33">
        <f>(160/256/C93)*1000</f>
        <v>7.1022727272727266</v>
      </c>
      <c r="F93" s="30">
        <v>1</v>
      </c>
      <c r="G93" s="30">
        <v>24</v>
      </c>
      <c r="H93" s="30">
        <v>600</v>
      </c>
      <c r="I93" s="30">
        <f>(14+F93)*H93</f>
        <v>9000</v>
      </c>
      <c r="J93" s="33">
        <f>(1/I93)*1000000</f>
        <v>111.11111111111111</v>
      </c>
    </row>
    <row r="94" spans="3:10" ht="15">
      <c r="C94" s="30">
        <v>89</v>
      </c>
      <c r="D94" s="33">
        <f>(160/256/C94)*1000</f>
        <v>7.0224719101123592</v>
      </c>
      <c r="F94" s="30">
        <v>1</v>
      </c>
      <c r="G94" s="30">
        <v>25</v>
      </c>
      <c r="H94" s="30">
        <v>625</v>
      </c>
      <c r="I94" s="30">
        <f>(14+F94)*H94</f>
        <v>9375</v>
      </c>
      <c r="J94" s="33">
        <f>(1/I94)*1000000</f>
        <v>106.66666666666667</v>
      </c>
    </row>
    <row r="95" spans="3:10" ht="15">
      <c r="C95" s="30">
        <v>90</v>
      </c>
      <c r="D95" s="33">
        <f>(160/256/C95)*1000</f>
        <v>6.9444444444444438</v>
      </c>
      <c r="F95" s="30">
        <v>1</v>
      </c>
      <c r="G95" s="30">
        <v>26</v>
      </c>
      <c r="H95" s="30">
        <v>650</v>
      </c>
      <c r="I95" s="30">
        <f>(14+F95)*H95</f>
        <v>9750</v>
      </c>
      <c r="J95" s="33">
        <f>(1/I95)*1000000</f>
        <v>102.56410256410255</v>
      </c>
    </row>
    <row r="96" spans="3:10" ht="15">
      <c r="C96" s="30">
        <v>91</v>
      </c>
      <c r="D96" s="33">
        <f>(160/256/C96)*1000</f>
        <v>6.8681318681318677</v>
      </c>
      <c r="F96" s="30">
        <v>1</v>
      </c>
      <c r="G96" s="30">
        <v>27</v>
      </c>
      <c r="H96" s="30">
        <v>675</v>
      </c>
      <c r="I96" s="30">
        <f>(14+F96)*H96</f>
        <v>10125</v>
      </c>
      <c r="J96" s="33">
        <f>(1/I96)*1000000</f>
        <v>98.76543209876543</v>
      </c>
    </row>
    <row r="97" spans="3:10" ht="15">
      <c r="C97" s="30">
        <v>92</v>
      </c>
      <c r="D97" s="33">
        <f>(160/256/C97)*1000</f>
        <v>6.7934782608695654</v>
      </c>
      <c r="F97" s="30">
        <v>1</v>
      </c>
      <c r="G97" s="30">
        <v>28</v>
      </c>
      <c r="H97" s="30">
        <v>700</v>
      </c>
      <c r="I97" s="30">
        <f>(14+F97)*H97</f>
        <v>10500</v>
      </c>
      <c r="J97" s="33">
        <f>(1/I97)*1000000</f>
        <v>95.238095238095241</v>
      </c>
    </row>
    <row r="98" spans="3:10" ht="15">
      <c r="C98" s="30">
        <v>93</v>
      </c>
      <c r="D98" s="33">
        <f>(160/256/C98)*1000</f>
        <v>6.720430107526882</v>
      </c>
      <c r="F98" s="30">
        <v>1</v>
      </c>
      <c r="G98" s="30">
        <v>29</v>
      </c>
      <c r="H98" s="30">
        <v>725</v>
      </c>
      <c r="I98" s="30">
        <f>(14+F98)*H98</f>
        <v>10875</v>
      </c>
      <c r="J98" s="33">
        <f>(1/I98)*1000000</f>
        <v>91.954022988505741</v>
      </c>
    </row>
    <row r="99" spans="3:10" ht="15">
      <c r="C99" s="30">
        <v>94</v>
      </c>
      <c r="D99" s="33">
        <f>(160/256/C99)*1000</f>
        <v>6.6489361702127656</v>
      </c>
      <c r="F99" s="30">
        <v>1</v>
      </c>
      <c r="G99" s="30">
        <v>30</v>
      </c>
      <c r="H99" s="30">
        <v>750</v>
      </c>
      <c r="I99" s="30">
        <f>(14+F99)*H99</f>
        <v>11250</v>
      </c>
      <c r="J99" s="33">
        <f>(1/I99)*1000000</f>
        <v>88.8888888888889</v>
      </c>
    </row>
    <row r="100" spans="3:10" ht="15">
      <c r="C100" s="30">
        <v>95</v>
      </c>
      <c r="D100" s="33">
        <f>(160/256/C100)*1000</f>
        <v>6.5789473684210522</v>
      </c>
      <c r="F100" s="30">
        <v>1</v>
      </c>
      <c r="G100" s="30">
        <v>31</v>
      </c>
      <c r="H100" s="30">
        <v>775</v>
      </c>
      <c r="I100" s="30">
        <f>(14+F100)*H100</f>
        <v>11625</v>
      </c>
      <c r="J100" s="33">
        <f>(1/I100)*1000000</f>
        <v>86.021505376344081</v>
      </c>
    </row>
    <row r="101" spans="3:10" ht="15">
      <c r="C101" s="30">
        <v>96</v>
      </c>
      <c r="D101" s="33">
        <f>(160/256/C101)*1000</f>
        <v>6.510416666666667</v>
      </c>
      <c r="F101" s="30">
        <v>1</v>
      </c>
      <c r="G101" s="30">
        <v>32</v>
      </c>
      <c r="H101" s="30">
        <v>800</v>
      </c>
      <c r="I101" s="30">
        <f>(14+F101)*H101</f>
        <v>12000</v>
      </c>
      <c r="J101" s="33">
        <f>(1/I101)*1000000</f>
        <v>83.333333333333329</v>
      </c>
    </row>
    <row r="102" spans="3:10" ht="15">
      <c r="C102" s="30">
        <v>97</v>
      </c>
      <c r="D102" s="33">
        <f>(160/256/C102)*1000</f>
        <v>6.4432989690721643</v>
      </c>
      <c r="F102" s="30">
        <v>1</v>
      </c>
      <c r="G102" s="30">
        <v>33</v>
      </c>
      <c r="H102" s="30">
        <v>825</v>
      </c>
      <c r="I102" s="30">
        <f>(14+F102)*H102</f>
        <v>12375</v>
      </c>
      <c r="J102" s="33">
        <f>(1/I102)*1000000</f>
        <v>80.808080808080817</v>
      </c>
    </row>
    <row r="103" spans="3:10" ht="15">
      <c r="C103" s="30">
        <v>98</v>
      </c>
      <c r="D103" s="33">
        <f>(160/256/C103)*1000</f>
        <v>6.3775510204081636</v>
      </c>
      <c r="F103" s="30">
        <v>1</v>
      </c>
      <c r="G103" s="30">
        <v>34</v>
      </c>
      <c r="H103" s="30">
        <v>850</v>
      </c>
      <c r="I103" s="30">
        <f>(14+F103)*H103</f>
        <v>12750</v>
      </c>
      <c r="J103" s="33">
        <f>(1/I103)*1000000</f>
        <v>78.431372549019613</v>
      </c>
    </row>
    <row r="104" spans="3:10" ht="15">
      <c r="C104" s="30">
        <v>99</v>
      </c>
      <c r="D104" s="33">
        <f>(160/256/C104)*1000</f>
        <v>6.3131313131313131</v>
      </c>
      <c r="F104" s="30">
        <v>1</v>
      </c>
      <c r="G104" s="30">
        <v>35</v>
      </c>
      <c r="H104" s="30">
        <v>875</v>
      </c>
      <c r="I104" s="30">
        <f>(14+F104)*H104</f>
        <v>13125</v>
      </c>
      <c r="J104" s="33">
        <f>(1/I104)*1000000</f>
        <v>76.19047619047619</v>
      </c>
    </row>
    <row r="105" spans="3:10" ht="15">
      <c r="C105" s="30">
        <v>100</v>
      </c>
      <c r="D105" s="33">
        <f>(160/256/C105)*1000</f>
        <v>6.25</v>
      </c>
      <c r="F105" s="30">
        <v>1</v>
      </c>
      <c r="G105" s="30">
        <v>36</v>
      </c>
      <c r="H105" s="30">
        <v>900</v>
      </c>
      <c r="I105" s="30">
        <f>(14+F105)*H105</f>
        <v>13500</v>
      </c>
      <c r="J105" s="33">
        <f>(1/I105)*1000000</f>
        <v>74.074074074074076</v>
      </c>
    </row>
    <row r="106" spans="3:10" ht="15">
      <c r="C106" s="30">
        <v>101</v>
      </c>
      <c r="D106" s="33">
        <f>(160/256/C106)*1000</f>
        <v>6.1881188118811883</v>
      </c>
      <c r="F106" s="30">
        <v>1</v>
      </c>
      <c r="G106" s="30">
        <v>37</v>
      </c>
      <c r="H106" s="30">
        <v>925</v>
      </c>
      <c r="I106" s="30">
        <f>(14+F106)*H106</f>
        <v>13875</v>
      </c>
      <c r="J106" s="33">
        <f>(1/I106)*1000000</f>
        <v>72.072072072072075</v>
      </c>
    </row>
    <row r="107" spans="3:10" ht="15">
      <c r="C107" s="30">
        <v>102</v>
      </c>
      <c r="D107" s="33">
        <f>(160/256/C107)*1000</f>
        <v>6.1274509803921564</v>
      </c>
      <c r="F107" s="30">
        <v>1</v>
      </c>
      <c r="G107" s="30">
        <v>38</v>
      </c>
      <c r="H107" s="30">
        <v>950</v>
      </c>
      <c r="I107" s="30">
        <f>(14+F107)*H107</f>
        <v>14250</v>
      </c>
      <c r="J107" s="33">
        <f>(1/I107)*1000000</f>
        <v>70.175438596491219</v>
      </c>
    </row>
    <row r="108" spans="3:10" ht="15">
      <c r="C108" s="30">
        <v>103</v>
      </c>
      <c r="D108" s="33">
        <f>(160/256/C108)*1000</f>
        <v>6.0679611650485432</v>
      </c>
      <c r="F108" s="30">
        <v>1</v>
      </c>
      <c r="G108" s="30">
        <v>39</v>
      </c>
      <c r="H108" s="30">
        <v>975</v>
      </c>
      <c r="I108" s="30">
        <f>(14+F108)*H108</f>
        <v>14625</v>
      </c>
      <c r="J108" s="33">
        <f>(1/I108)*1000000</f>
        <v>68.376068376068375</v>
      </c>
    </row>
    <row r="109" spans="3:10" ht="15">
      <c r="C109" s="30">
        <v>104</v>
      </c>
      <c r="D109" s="33">
        <f>(160/256/C109)*1000</f>
        <v>6.009615384615385</v>
      </c>
      <c r="F109" s="30">
        <v>1</v>
      </c>
      <c r="G109" s="30">
        <v>40</v>
      </c>
      <c r="H109" s="30">
        <v>1000</v>
      </c>
      <c r="I109" s="30">
        <f>(14+F109)*H109</f>
        <v>15000</v>
      </c>
      <c r="J109" s="33">
        <f>(1/I109)*1000000</f>
        <v>66.666666666666671</v>
      </c>
    </row>
    <row r="110" spans="3:10" ht="15">
      <c r="C110" s="30">
        <v>105</v>
      </c>
      <c r="D110" s="33">
        <f>(160/256/C110)*1000</f>
        <v>5.9523809523809517</v>
      </c>
      <c r="F110" s="30">
        <v>1</v>
      </c>
      <c r="G110" s="30">
        <v>41</v>
      </c>
      <c r="H110" s="30">
        <v>1025</v>
      </c>
      <c r="I110" s="30">
        <f>(14+F110)*H110</f>
        <v>15375</v>
      </c>
      <c r="J110" s="33">
        <f>(1/I110)*1000000</f>
        <v>65.040650406504056</v>
      </c>
    </row>
    <row r="111" spans="3:10" ht="15">
      <c r="C111" s="30">
        <v>106</v>
      </c>
      <c r="D111" s="33">
        <f>(160/256/C111)*1000</f>
        <v>5.8962264150943398</v>
      </c>
      <c r="F111" s="30">
        <v>1</v>
      </c>
      <c r="G111" s="30">
        <v>42</v>
      </c>
      <c r="H111" s="30">
        <v>1050</v>
      </c>
      <c r="I111" s="30">
        <f>(14+F111)*H111</f>
        <v>15750</v>
      </c>
      <c r="J111" s="33">
        <f>(1/I111)*1000000</f>
        <v>63.492063492063487</v>
      </c>
    </row>
    <row r="112" spans="3:10" ht="15">
      <c r="C112" s="30">
        <v>107</v>
      </c>
      <c r="D112" s="33">
        <f>(160/256/C112)*1000</f>
        <v>5.8411214953271022</v>
      </c>
      <c r="F112" s="30">
        <v>1</v>
      </c>
      <c r="G112" s="30">
        <v>43</v>
      </c>
      <c r="H112" s="30">
        <v>1075</v>
      </c>
      <c r="I112" s="30">
        <f>(14+F112)*H112</f>
        <v>16125</v>
      </c>
      <c r="J112" s="33">
        <f>(1/I112)*1000000</f>
        <v>62.015503875968996</v>
      </c>
    </row>
    <row r="113" spans="3:10" ht="15">
      <c r="C113" s="30">
        <v>108</v>
      </c>
      <c r="D113" s="33">
        <f>(160/256/C113)*1000</f>
        <v>5.7870370370370363</v>
      </c>
      <c r="F113" s="30">
        <v>1</v>
      </c>
      <c r="G113" s="30">
        <v>44</v>
      </c>
      <c r="H113" s="30">
        <v>1100</v>
      </c>
      <c r="I113" s="30">
        <f>(14+F113)*H113</f>
        <v>16500</v>
      </c>
      <c r="J113" s="33">
        <f>(1/I113)*1000000</f>
        <v>60.606060606060602</v>
      </c>
    </row>
    <row r="114" spans="3:10" ht="15">
      <c r="C114" s="30">
        <v>109</v>
      </c>
      <c r="D114" s="33">
        <f>(160/256/C114)*1000</f>
        <v>5.7339449541284404</v>
      </c>
      <c r="F114" s="30">
        <v>1</v>
      </c>
      <c r="G114" s="30">
        <v>45</v>
      </c>
      <c r="H114" s="30">
        <v>1125</v>
      </c>
      <c r="I114" s="30">
        <f>(14+F114)*H114</f>
        <v>16875</v>
      </c>
      <c r="J114" s="33">
        <f>(1/I114)*1000000</f>
        <v>59.25925925925926</v>
      </c>
    </row>
    <row r="115" spans="3:10" ht="15">
      <c r="C115" s="30">
        <v>110</v>
      </c>
      <c r="D115" s="33">
        <f>(160/256/C115)*1000</f>
        <v>5.6818181818181817</v>
      </c>
      <c r="F115" s="30">
        <v>1</v>
      </c>
      <c r="G115" s="30">
        <v>46</v>
      </c>
      <c r="H115" s="30">
        <v>1150</v>
      </c>
      <c r="I115" s="30">
        <f>(14+F115)*H115</f>
        <v>17250</v>
      </c>
      <c r="J115" s="33">
        <f>(1/I115)*1000000</f>
        <v>57.971014492753618</v>
      </c>
    </row>
    <row r="116" spans="3:10" ht="15">
      <c r="C116" s="30">
        <v>111</v>
      </c>
      <c r="D116" s="33">
        <f>(160/256/C116)*1000</f>
        <v>5.6306306306306304</v>
      </c>
      <c r="F116" s="30">
        <v>1</v>
      </c>
      <c r="G116" s="30">
        <v>47</v>
      </c>
      <c r="H116" s="30">
        <v>1175</v>
      </c>
      <c r="I116" s="30">
        <f>(14+F116)*H116</f>
        <v>17625</v>
      </c>
      <c r="J116" s="33">
        <f>(1/I116)*1000000</f>
        <v>56.737588652482273</v>
      </c>
    </row>
    <row r="117" spans="3:10" ht="15">
      <c r="C117" s="30">
        <v>112</v>
      </c>
      <c r="D117" s="33">
        <f>(160/256/C117)*1000</f>
        <v>5.5803571428571432</v>
      </c>
      <c r="F117" s="30">
        <v>1</v>
      </c>
      <c r="G117" s="30">
        <v>48</v>
      </c>
      <c r="H117" s="30">
        <v>1200</v>
      </c>
      <c r="I117" s="30">
        <f>(14+F117)*H117</f>
        <v>18000</v>
      </c>
      <c r="J117" s="33">
        <f>(1/I117)*1000000</f>
        <v>55.555555555555557</v>
      </c>
    </row>
    <row r="118" spans="3:10" ht="15">
      <c r="C118" s="30">
        <v>113</v>
      </c>
      <c r="D118" s="33">
        <f>(160/256/C118)*1000</f>
        <v>5.5309734513274336</v>
      </c>
      <c r="F118" s="30">
        <v>1</v>
      </c>
      <c r="G118" s="30">
        <v>49</v>
      </c>
      <c r="H118" s="30">
        <v>1225</v>
      </c>
      <c r="I118" s="30">
        <f>(14+F118)*H118</f>
        <v>18375</v>
      </c>
      <c r="J118" s="33">
        <f>(1/I118)*1000000</f>
        <v>54.421768707482997</v>
      </c>
    </row>
    <row r="119" spans="3:10" ht="15">
      <c r="C119" s="30">
        <v>114</v>
      </c>
      <c r="D119" s="33">
        <f>(160/256/C119)*1000</f>
        <v>5.4824561403508767</v>
      </c>
      <c r="F119" s="30">
        <v>1</v>
      </c>
      <c r="G119" s="30">
        <v>50</v>
      </c>
      <c r="H119" s="30">
        <v>1250</v>
      </c>
      <c r="I119" s="30">
        <f>(14+F119)*H119</f>
        <v>18750</v>
      </c>
      <c r="J119" s="33">
        <f>(1/I119)*1000000</f>
        <v>53.333333333333336</v>
      </c>
    </row>
    <row r="120" spans="3:10" ht="15">
      <c r="C120" s="30">
        <v>115</v>
      </c>
      <c r="D120" s="33">
        <f>(160/256/C120)*1000</f>
        <v>5.4347826086956523</v>
      </c>
      <c r="F120" s="30">
        <v>1</v>
      </c>
      <c r="G120" s="30">
        <v>51</v>
      </c>
      <c r="H120" s="30">
        <v>1275</v>
      </c>
      <c r="I120" s="30">
        <f>(14+F120)*H120</f>
        <v>19125</v>
      </c>
      <c r="J120" s="33">
        <f>(1/I120)*1000000</f>
        <v>52.287581699346404</v>
      </c>
    </row>
    <row r="121" spans="3:10" ht="15">
      <c r="C121" s="30">
        <v>116</v>
      </c>
      <c r="D121" s="33">
        <f>(160/256/C121)*1000</f>
        <v>5.3879310344827589</v>
      </c>
      <c r="F121" s="30">
        <v>1</v>
      </c>
      <c r="G121" s="30">
        <v>52</v>
      </c>
      <c r="H121" s="30">
        <v>1300</v>
      </c>
      <c r="I121" s="30">
        <f>(14+F121)*H121</f>
        <v>19500</v>
      </c>
      <c r="J121" s="33">
        <f>(1/I121)*1000000</f>
        <v>51.282051282051277</v>
      </c>
    </row>
    <row r="122" spans="3:10" ht="15">
      <c r="C122" s="30">
        <v>117</v>
      </c>
      <c r="D122" s="33">
        <f>(160/256/C122)*1000</f>
        <v>5.3418803418803416</v>
      </c>
      <c r="F122" s="30">
        <v>1</v>
      </c>
      <c r="G122" s="30">
        <v>53</v>
      </c>
      <c r="H122" s="30">
        <v>1325</v>
      </c>
      <c r="I122" s="30">
        <f>(14+F122)*H122</f>
        <v>19875</v>
      </c>
      <c r="J122" s="33">
        <f>(1/I122)*1000000</f>
        <v>50.314465408805034</v>
      </c>
    </row>
    <row r="123" spans="3:10" ht="15">
      <c r="C123" s="30">
        <v>118</v>
      </c>
      <c r="D123" s="33">
        <f>(160/256/C123)*1000</f>
        <v>5.2966101694915251</v>
      </c>
      <c r="F123" s="30">
        <v>1</v>
      </c>
      <c r="G123" s="30">
        <v>54</v>
      </c>
      <c r="H123" s="30">
        <v>1350</v>
      </c>
      <c r="I123" s="30">
        <f>(14+F123)*H123</f>
        <v>20250</v>
      </c>
      <c r="J123" s="33">
        <f>(1/I123)*1000000</f>
        <v>49.382716049382715</v>
      </c>
    </row>
    <row r="124" spans="3:10" ht="15">
      <c r="C124" s="30">
        <v>119</v>
      </c>
      <c r="D124" s="33">
        <f>(160/256/C124)*1000</f>
        <v>5.2521008403361344</v>
      </c>
      <c r="F124" s="30">
        <v>1</v>
      </c>
      <c r="G124" s="30">
        <v>55</v>
      </c>
      <c r="H124" s="30">
        <v>1375</v>
      </c>
      <c r="I124" s="30">
        <f>(14+F124)*H124</f>
        <v>20625</v>
      </c>
      <c r="J124" s="33">
        <f>(1/I124)*1000000</f>
        <v>48.484848484848484</v>
      </c>
    </row>
    <row r="125" spans="3:10" ht="15">
      <c r="C125" s="30">
        <v>120</v>
      </c>
      <c r="D125" s="33">
        <f>(160/256/C125)*1000</f>
        <v>5.208333333333333</v>
      </c>
      <c r="F125" s="30">
        <v>1</v>
      </c>
      <c r="G125" s="30">
        <v>56</v>
      </c>
      <c r="H125" s="30">
        <v>1400</v>
      </c>
      <c r="I125" s="30">
        <f>(14+F125)*H125</f>
        <v>21000</v>
      </c>
      <c r="J125" s="33">
        <f>(1/I125)*1000000</f>
        <v>47.61904761904762</v>
      </c>
    </row>
    <row r="126" spans="3:10" ht="15">
      <c r="C126" s="30">
        <v>121</v>
      </c>
      <c r="D126" s="33">
        <f>(160/256/C126)*1000</f>
        <v>5.1652892561983474</v>
      </c>
      <c r="F126" s="30">
        <v>1</v>
      </c>
      <c r="G126" s="30">
        <v>57</v>
      </c>
      <c r="H126" s="30">
        <v>1425</v>
      </c>
      <c r="I126" s="30">
        <f>(14+F126)*H126</f>
        <v>21375</v>
      </c>
      <c r="J126" s="33">
        <f>(1/I126)*1000000</f>
        <v>46.783625730994153</v>
      </c>
    </row>
    <row r="127" spans="3:10" ht="15">
      <c r="C127" s="30">
        <v>122</v>
      </c>
      <c r="D127" s="33">
        <f>(160/256/C127)*1000</f>
        <v>5.1229508196721305</v>
      </c>
      <c r="F127" s="30">
        <v>1</v>
      </c>
      <c r="G127" s="30">
        <v>58</v>
      </c>
      <c r="H127" s="30">
        <v>1450</v>
      </c>
      <c r="I127" s="30">
        <f>(14+F127)*H127</f>
        <v>21750</v>
      </c>
      <c r="J127" s="33">
        <f>(1/I127)*1000000</f>
        <v>45.977011494252871</v>
      </c>
    </row>
    <row r="128" spans="3:10" ht="15">
      <c r="C128" s="30">
        <v>123</v>
      </c>
      <c r="D128" s="33">
        <f>(160/256/C128)*1000</f>
        <v>5.0813008130081299</v>
      </c>
      <c r="F128" s="30">
        <v>1</v>
      </c>
      <c r="G128" s="30">
        <v>59</v>
      </c>
      <c r="H128" s="30">
        <v>1475</v>
      </c>
      <c r="I128" s="30">
        <f>(14+F128)*H128</f>
        <v>22125</v>
      </c>
      <c r="J128" s="33">
        <f>(1/I128)*1000000</f>
        <v>45.197740112994353</v>
      </c>
    </row>
    <row r="129" spans="3:10" ht="15">
      <c r="C129" s="30">
        <v>124</v>
      </c>
      <c r="D129" s="33">
        <f>(160/256/C129)*1000</f>
        <v>5.040322580645161</v>
      </c>
      <c r="F129" s="30">
        <v>1</v>
      </c>
      <c r="G129" s="30">
        <v>60</v>
      </c>
      <c r="H129" s="30">
        <v>1500</v>
      </c>
      <c r="I129" s="30">
        <f>(14+F129)*H129</f>
        <v>22500</v>
      </c>
      <c r="J129" s="33">
        <f>(1/I129)*1000000</f>
        <v>44.44444444444445</v>
      </c>
    </row>
    <row r="130" spans="3:10" ht="15">
      <c r="C130" s="30">
        <v>125</v>
      </c>
      <c r="D130" s="33">
        <f>(160/256/C130)*1000</f>
        <v>5</v>
      </c>
      <c r="F130" s="30">
        <v>1</v>
      </c>
      <c r="G130" s="30">
        <v>61</v>
      </c>
      <c r="H130" s="30">
        <v>1525</v>
      </c>
      <c r="I130" s="30">
        <f>(14+F130)*H130</f>
        <v>22875</v>
      </c>
      <c r="J130" s="33">
        <f>(1/I130)*1000000</f>
        <v>43.715846994535518</v>
      </c>
    </row>
    <row r="131" spans="3:10" ht="15">
      <c r="C131" s="30">
        <v>126</v>
      </c>
      <c r="D131" s="33">
        <f>(160/256/C131)*1000</f>
        <v>4.9603174603174605</v>
      </c>
      <c r="F131" s="30">
        <v>1</v>
      </c>
      <c r="G131" s="30">
        <v>62</v>
      </c>
      <c r="H131" s="30">
        <v>1550</v>
      </c>
      <c r="I131" s="30">
        <f>(14+F131)*H131</f>
        <v>23250</v>
      </c>
      <c r="J131" s="33">
        <f>(1/I131)*1000000</f>
        <v>43.01075268817204</v>
      </c>
    </row>
    <row r="132" spans="3:10" ht="15">
      <c r="C132" s="30">
        <v>127</v>
      </c>
      <c r="D132" s="33">
        <f>(160/256/C132)*1000</f>
        <v>4.9212598425196852</v>
      </c>
      <c r="F132" s="30">
        <v>1</v>
      </c>
      <c r="G132" s="30">
        <v>63</v>
      </c>
      <c r="H132" s="30">
        <v>1575</v>
      </c>
      <c r="I132" s="30">
        <f>(14+F132)*H132</f>
        <v>23625</v>
      </c>
      <c r="J132" s="33">
        <f>(1/I132)*1000000</f>
        <v>42.328042328042329</v>
      </c>
    </row>
    <row r="133" spans="3:10" ht="15">
      <c r="C133" s="30">
        <v>128</v>
      </c>
      <c r="D133" s="33">
        <f>(160/256/C133)*1000</f>
        <v>4.8828125</v>
      </c>
      <c r="F133" s="30">
        <v>1</v>
      </c>
      <c r="G133" s="30">
        <v>64</v>
      </c>
      <c r="H133" s="30">
        <v>1600</v>
      </c>
      <c r="I133" s="30">
        <f>(14+F133)*H133</f>
        <v>24000</v>
      </c>
      <c r="J133" s="33">
        <f>(1/I133)*1000000</f>
        <v>41.666666666666664</v>
      </c>
    </row>
    <row r="134" spans="3:10" ht="15">
      <c r="F134" s="30">
        <v>2</v>
      </c>
      <c r="G134" s="30">
        <v>1</v>
      </c>
      <c r="H134" s="30">
        <v>25</v>
      </c>
      <c r="I134" s="30">
        <f t="shared" ref="I71:I134" si="0">(14+F134)*H134</f>
        <v>400</v>
      </c>
      <c r="J134" s="33">
        <f t="shared" ref="J71:J134" si="1">(1/I134)*1000000</f>
        <v>2500</v>
      </c>
    </row>
    <row r="135" spans="3:10" ht="15">
      <c r="F135" s="30">
        <v>2</v>
      </c>
      <c r="G135" s="30">
        <v>2</v>
      </c>
      <c r="H135" s="30">
        <v>50</v>
      </c>
      <c r="I135" s="30">
        <f t="shared" ref="I135:I198" si="2">(14+F135)*H135</f>
        <v>800</v>
      </c>
      <c r="J135" s="33">
        <f t="shared" ref="J135:J198" si="3">(1/I135)*1000000</f>
        <v>1250</v>
      </c>
    </row>
    <row r="136" spans="3:10" ht="15">
      <c r="F136" s="30">
        <v>2</v>
      </c>
      <c r="G136" s="30">
        <v>3</v>
      </c>
      <c r="H136" s="30">
        <v>75</v>
      </c>
      <c r="I136" s="30">
        <f t="shared" si="2"/>
        <v>1200</v>
      </c>
      <c r="J136" s="33">
        <f t="shared" si="3"/>
        <v>833.33333333333337</v>
      </c>
    </row>
    <row r="137" spans="3:10" ht="15">
      <c r="F137" s="30">
        <v>2</v>
      </c>
      <c r="G137" s="30">
        <v>4</v>
      </c>
      <c r="H137" s="30">
        <v>100</v>
      </c>
      <c r="I137" s="30">
        <f t="shared" si="2"/>
        <v>1600</v>
      </c>
      <c r="J137" s="33">
        <f t="shared" si="3"/>
        <v>625</v>
      </c>
    </row>
    <row r="138" spans="3:10" ht="15">
      <c r="F138" s="30">
        <v>2</v>
      </c>
      <c r="G138" s="30">
        <v>5</v>
      </c>
      <c r="H138" s="30">
        <v>125</v>
      </c>
      <c r="I138" s="30">
        <f t="shared" si="2"/>
        <v>2000</v>
      </c>
      <c r="J138" s="33">
        <f t="shared" si="3"/>
        <v>500</v>
      </c>
    </row>
    <row r="139" spans="3:10" ht="15">
      <c r="F139" s="30">
        <v>2</v>
      </c>
      <c r="G139" s="30">
        <v>6</v>
      </c>
      <c r="H139" s="30">
        <v>150</v>
      </c>
      <c r="I139" s="30">
        <f t="shared" si="2"/>
        <v>2400</v>
      </c>
      <c r="J139" s="33">
        <f t="shared" si="3"/>
        <v>416.66666666666669</v>
      </c>
    </row>
    <row r="140" spans="3:10" ht="15">
      <c r="F140" s="30">
        <v>2</v>
      </c>
      <c r="G140" s="30">
        <v>7</v>
      </c>
      <c r="H140" s="30">
        <v>175</v>
      </c>
      <c r="I140" s="30">
        <f t="shared" si="2"/>
        <v>2800</v>
      </c>
      <c r="J140" s="33">
        <f t="shared" si="3"/>
        <v>357.14285714285717</v>
      </c>
    </row>
    <row r="141" spans="3:10" ht="15">
      <c r="F141" s="30">
        <v>2</v>
      </c>
      <c r="G141" s="30">
        <v>8</v>
      </c>
      <c r="H141" s="30">
        <v>200</v>
      </c>
      <c r="I141" s="30">
        <f t="shared" si="2"/>
        <v>3200</v>
      </c>
      <c r="J141" s="33">
        <f t="shared" si="3"/>
        <v>312.5</v>
      </c>
    </row>
    <row r="142" spans="3:10" ht="15">
      <c r="F142" s="30">
        <v>2</v>
      </c>
      <c r="G142" s="30">
        <v>9</v>
      </c>
      <c r="H142" s="30">
        <v>225</v>
      </c>
      <c r="I142" s="30">
        <f t="shared" si="2"/>
        <v>3600</v>
      </c>
      <c r="J142" s="33">
        <f t="shared" si="3"/>
        <v>277.77777777777777</v>
      </c>
    </row>
    <row r="143" spans="3:10" ht="15">
      <c r="F143" s="30">
        <v>2</v>
      </c>
      <c r="G143" s="30">
        <v>10</v>
      </c>
      <c r="H143" s="30">
        <v>250</v>
      </c>
      <c r="I143" s="30">
        <f t="shared" si="2"/>
        <v>4000</v>
      </c>
      <c r="J143" s="33">
        <f t="shared" si="3"/>
        <v>250</v>
      </c>
    </row>
    <row r="144" spans="3:10" ht="15">
      <c r="F144" s="30">
        <v>2</v>
      </c>
      <c r="G144" s="30">
        <v>11</v>
      </c>
      <c r="H144" s="30">
        <v>275</v>
      </c>
      <c r="I144" s="30">
        <f t="shared" si="2"/>
        <v>4400</v>
      </c>
      <c r="J144" s="33">
        <f t="shared" si="3"/>
        <v>227.27272727272728</v>
      </c>
    </row>
    <row r="145" spans="6:10" ht="15">
      <c r="F145" s="30">
        <v>2</v>
      </c>
      <c r="G145" s="30">
        <v>12</v>
      </c>
      <c r="H145" s="30">
        <v>300</v>
      </c>
      <c r="I145" s="30">
        <f t="shared" si="2"/>
        <v>4800</v>
      </c>
      <c r="J145" s="33">
        <f t="shared" si="3"/>
        <v>208.33333333333334</v>
      </c>
    </row>
    <row r="146" spans="6:10" ht="15">
      <c r="F146" s="30">
        <v>2</v>
      </c>
      <c r="G146" s="30">
        <v>13</v>
      </c>
      <c r="H146" s="30">
        <v>325</v>
      </c>
      <c r="I146" s="30">
        <f t="shared" si="2"/>
        <v>5200</v>
      </c>
      <c r="J146" s="33">
        <f t="shared" si="3"/>
        <v>192.30769230769232</v>
      </c>
    </row>
    <row r="147" spans="6:10" ht="15">
      <c r="F147" s="30">
        <v>2</v>
      </c>
      <c r="G147" s="30">
        <v>14</v>
      </c>
      <c r="H147" s="30">
        <v>350</v>
      </c>
      <c r="I147" s="30">
        <f t="shared" si="2"/>
        <v>5600</v>
      </c>
      <c r="J147" s="33">
        <f t="shared" si="3"/>
        <v>178.57142857142858</v>
      </c>
    </row>
    <row r="148" spans="6:10" ht="15">
      <c r="F148" s="30">
        <v>2</v>
      </c>
      <c r="G148" s="30">
        <v>15</v>
      </c>
      <c r="H148" s="30">
        <v>375</v>
      </c>
      <c r="I148" s="30">
        <f t="shared" si="2"/>
        <v>6000</v>
      </c>
      <c r="J148" s="33">
        <f t="shared" si="3"/>
        <v>166.66666666666666</v>
      </c>
    </row>
    <row r="149" spans="6:10" ht="15">
      <c r="F149" s="30">
        <v>2</v>
      </c>
      <c r="G149" s="30">
        <v>16</v>
      </c>
      <c r="H149" s="30">
        <v>400</v>
      </c>
      <c r="I149" s="30">
        <f t="shared" si="2"/>
        <v>6400</v>
      </c>
      <c r="J149" s="33">
        <f t="shared" si="3"/>
        <v>156.25</v>
      </c>
    </row>
    <row r="150" spans="6:10" ht="15">
      <c r="F150" s="30">
        <v>2</v>
      </c>
      <c r="G150" s="30">
        <v>17</v>
      </c>
      <c r="H150" s="30">
        <v>425</v>
      </c>
      <c r="I150" s="30">
        <f t="shared" si="2"/>
        <v>6800</v>
      </c>
      <c r="J150" s="33">
        <f t="shared" si="3"/>
        <v>147.05882352941174</v>
      </c>
    </row>
    <row r="151" spans="6:10" ht="15">
      <c r="F151" s="30">
        <v>2</v>
      </c>
      <c r="G151" s="30">
        <v>18</v>
      </c>
      <c r="H151" s="30">
        <v>450</v>
      </c>
      <c r="I151" s="30">
        <f t="shared" si="2"/>
        <v>7200</v>
      </c>
      <c r="J151" s="33">
        <f t="shared" si="3"/>
        <v>138.88888888888889</v>
      </c>
    </row>
    <row r="152" spans="6:10" ht="15">
      <c r="F152" s="30">
        <v>2</v>
      </c>
      <c r="G152" s="30">
        <v>19</v>
      </c>
      <c r="H152" s="30">
        <v>475</v>
      </c>
      <c r="I152" s="30">
        <f t="shared" si="2"/>
        <v>7600</v>
      </c>
      <c r="J152" s="33">
        <f t="shared" si="3"/>
        <v>131.57894736842104</v>
      </c>
    </row>
    <row r="153" spans="6:10" ht="15">
      <c r="F153" s="30">
        <v>2</v>
      </c>
      <c r="G153" s="30">
        <v>20</v>
      </c>
      <c r="H153" s="30">
        <v>500</v>
      </c>
      <c r="I153" s="30">
        <f t="shared" si="2"/>
        <v>8000</v>
      </c>
      <c r="J153" s="33">
        <f t="shared" si="3"/>
        <v>125</v>
      </c>
    </row>
    <row r="154" spans="6:10" ht="15">
      <c r="F154" s="30">
        <v>2</v>
      </c>
      <c r="G154" s="30">
        <v>21</v>
      </c>
      <c r="H154" s="30">
        <v>525</v>
      </c>
      <c r="I154" s="30">
        <f t="shared" si="2"/>
        <v>8400</v>
      </c>
      <c r="J154" s="33">
        <f t="shared" si="3"/>
        <v>119.04761904761905</v>
      </c>
    </row>
    <row r="155" spans="6:10" ht="15">
      <c r="F155" s="30">
        <v>2</v>
      </c>
      <c r="G155" s="30">
        <v>22</v>
      </c>
      <c r="H155" s="30">
        <v>550</v>
      </c>
      <c r="I155" s="30">
        <f t="shared" si="2"/>
        <v>8800</v>
      </c>
      <c r="J155" s="33">
        <f t="shared" si="3"/>
        <v>113.63636363636364</v>
      </c>
    </row>
    <row r="156" spans="6:10" ht="15">
      <c r="F156" s="30">
        <v>2</v>
      </c>
      <c r="G156" s="30">
        <v>23</v>
      </c>
      <c r="H156" s="30">
        <v>575</v>
      </c>
      <c r="I156" s="30">
        <f t="shared" si="2"/>
        <v>9200</v>
      </c>
      <c r="J156" s="33">
        <f t="shared" si="3"/>
        <v>108.69565217391305</v>
      </c>
    </row>
    <row r="157" spans="6:10" ht="15">
      <c r="F157" s="30">
        <v>2</v>
      </c>
      <c r="G157" s="30">
        <v>24</v>
      </c>
      <c r="H157" s="30">
        <v>600</v>
      </c>
      <c r="I157" s="30">
        <f t="shared" si="2"/>
        <v>9600</v>
      </c>
      <c r="J157" s="33">
        <f t="shared" si="3"/>
        <v>104.16666666666667</v>
      </c>
    </row>
    <row r="158" spans="6:10" ht="15">
      <c r="F158" s="30">
        <v>2</v>
      </c>
      <c r="G158" s="30">
        <v>25</v>
      </c>
      <c r="H158" s="30">
        <v>625</v>
      </c>
      <c r="I158" s="30">
        <f t="shared" si="2"/>
        <v>10000</v>
      </c>
      <c r="J158" s="33">
        <f t="shared" si="3"/>
        <v>100</v>
      </c>
    </row>
    <row r="159" spans="6:10" ht="15">
      <c r="F159" s="30">
        <v>2</v>
      </c>
      <c r="G159" s="30">
        <v>26</v>
      </c>
      <c r="H159" s="30">
        <v>650</v>
      </c>
      <c r="I159" s="30">
        <f t="shared" si="2"/>
        <v>10400</v>
      </c>
      <c r="J159" s="33">
        <f t="shared" si="3"/>
        <v>96.15384615384616</v>
      </c>
    </row>
    <row r="160" spans="6:10" ht="15">
      <c r="F160" s="30">
        <v>2</v>
      </c>
      <c r="G160" s="30">
        <v>27</v>
      </c>
      <c r="H160" s="30">
        <v>675</v>
      </c>
      <c r="I160" s="30">
        <f t="shared" si="2"/>
        <v>10800</v>
      </c>
      <c r="J160" s="33">
        <f t="shared" si="3"/>
        <v>92.592592592592581</v>
      </c>
    </row>
    <row r="161" spans="6:10" ht="15">
      <c r="F161" s="30">
        <v>2</v>
      </c>
      <c r="G161" s="30">
        <v>28</v>
      </c>
      <c r="H161" s="30">
        <v>700</v>
      </c>
      <c r="I161" s="30">
        <f t="shared" si="2"/>
        <v>11200</v>
      </c>
      <c r="J161" s="33">
        <f t="shared" si="3"/>
        <v>89.285714285714292</v>
      </c>
    </row>
    <row r="162" spans="6:10" ht="15">
      <c r="F162" s="30">
        <v>2</v>
      </c>
      <c r="G162" s="30">
        <v>29</v>
      </c>
      <c r="H162" s="30">
        <v>725</v>
      </c>
      <c r="I162" s="30">
        <f t="shared" si="2"/>
        <v>11600</v>
      </c>
      <c r="J162" s="33">
        <f t="shared" si="3"/>
        <v>86.206896551724128</v>
      </c>
    </row>
    <row r="163" spans="6:10" ht="15">
      <c r="F163" s="30">
        <v>2</v>
      </c>
      <c r="G163" s="30">
        <v>30</v>
      </c>
      <c r="H163" s="30">
        <v>750</v>
      </c>
      <c r="I163" s="30">
        <f t="shared" si="2"/>
        <v>12000</v>
      </c>
      <c r="J163" s="33">
        <f t="shared" si="3"/>
        <v>83.333333333333329</v>
      </c>
    </row>
    <row r="164" spans="6:10" ht="15">
      <c r="F164" s="30">
        <v>2</v>
      </c>
      <c r="G164" s="30">
        <v>31</v>
      </c>
      <c r="H164" s="30">
        <v>775</v>
      </c>
      <c r="I164" s="30">
        <f t="shared" si="2"/>
        <v>12400</v>
      </c>
      <c r="J164" s="33">
        <f t="shared" si="3"/>
        <v>80.645161290322577</v>
      </c>
    </row>
    <row r="165" spans="6:10" ht="15">
      <c r="F165" s="30">
        <v>2</v>
      </c>
      <c r="G165" s="30">
        <v>32</v>
      </c>
      <c r="H165" s="30">
        <v>800</v>
      </c>
      <c r="I165" s="30">
        <f t="shared" si="2"/>
        <v>12800</v>
      </c>
      <c r="J165" s="33">
        <f t="shared" si="3"/>
        <v>78.125</v>
      </c>
    </row>
    <row r="166" spans="6:10" ht="15">
      <c r="F166" s="30">
        <v>2</v>
      </c>
      <c r="G166" s="30">
        <v>33</v>
      </c>
      <c r="H166" s="30">
        <v>825</v>
      </c>
      <c r="I166" s="30">
        <f t="shared" si="2"/>
        <v>13200</v>
      </c>
      <c r="J166" s="33">
        <f t="shared" si="3"/>
        <v>75.757575757575751</v>
      </c>
    </row>
    <row r="167" spans="6:10" ht="15">
      <c r="F167" s="30">
        <v>2</v>
      </c>
      <c r="G167" s="30">
        <v>34</v>
      </c>
      <c r="H167" s="30">
        <v>850</v>
      </c>
      <c r="I167" s="30">
        <f t="shared" si="2"/>
        <v>13600</v>
      </c>
      <c r="J167" s="33">
        <f t="shared" si="3"/>
        <v>73.52941176470587</v>
      </c>
    </row>
    <row r="168" spans="6:10" ht="15">
      <c r="F168" s="30">
        <v>2</v>
      </c>
      <c r="G168" s="30">
        <v>35</v>
      </c>
      <c r="H168" s="30">
        <v>875</v>
      </c>
      <c r="I168" s="30">
        <f t="shared" si="2"/>
        <v>14000</v>
      </c>
      <c r="J168" s="33">
        <f t="shared" si="3"/>
        <v>71.428571428571431</v>
      </c>
    </row>
    <row r="169" spans="6:10" ht="15">
      <c r="F169" s="30">
        <v>2</v>
      </c>
      <c r="G169" s="30">
        <v>36</v>
      </c>
      <c r="H169" s="30">
        <v>900</v>
      </c>
      <c r="I169" s="30">
        <f t="shared" si="2"/>
        <v>14400</v>
      </c>
      <c r="J169" s="33">
        <f t="shared" si="3"/>
        <v>69.444444444444443</v>
      </c>
    </row>
    <row r="170" spans="6:10" ht="15">
      <c r="F170" s="30">
        <v>2</v>
      </c>
      <c r="G170" s="30">
        <v>37</v>
      </c>
      <c r="H170" s="30">
        <v>925</v>
      </c>
      <c r="I170" s="30">
        <f t="shared" si="2"/>
        <v>14800</v>
      </c>
      <c r="J170" s="33">
        <f t="shared" si="3"/>
        <v>67.567567567567565</v>
      </c>
    </row>
    <row r="171" spans="6:10" ht="15">
      <c r="F171" s="30">
        <v>2</v>
      </c>
      <c r="G171" s="30">
        <v>38</v>
      </c>
      <c r="H171" s="30">
        <v>950</v>
      </c>
      <c r="I171" s="30">
        <f t="shared" si="2"/>
        <v>15200</v>
      </c>
      <c r="J171" s="33">
        <f t="shared" si="3"/>
        <v>65.78947368421052</v>
      </c>
    </row>
    <row r="172" spans="6:10" ht="15">
      <c r="F172" s="30">
        <v>2</v>
      </c>
      <c r="G172" s="30">
        <v>39</v>
      </c>
      <c r="H172" s="30">
        <v>975</v>
      </c>
      <c r="I172" s="30">
        <f t="shared" si="2"/>
        <v>15600</v>
      </c>
      <c r="J172" s="33">
        <f t="shared" si="3"/>
        <v>64.102564102564102</v>
      </c>
    </row>
    <row r="173" spans="6:10" ht="15">
      <c r="F173" s="30">
        <v>2</v>
      </c>
      <c r="G173" s="30">
        <v>40</v>
      </c>
      <c r="H173" s="30">
        <v>1000</v>
      </c>
      <c r="I173" s="30">
        <f t="shared" si="2"/>
        <v>16000</v>
      </c>
      <c r="J173" s="33">
        <f t="shared" si="3"/>
        <v>62.5</v>
      </c>
    </row>
    <row r="174" spans="6:10" ht="15">
      <c r="F174" s="30">
        <v>2</v>
      </c>
      <c r="G174" s="30">
        <v>41</v>
      </c>
      <c r="H174" s="30">
        <v>1025</v>
      </c>
      <c r="I174" s="30">
        <f t="shared" si="2"/>
        <v>16400</v>
      </c>
      <c r="J174" s="33">
        <f t="shared" si="3"/>
        <v>60.975609756097562</v>
      </c>
    </row>
    <row r="175" spans="6:10" ht="15">
      <c r="F175" s="30">
        <v>2</v>
      </c>
      <c r="G175" s="30">
        <v>42</v>
      </c>
      <c r="H175" s="30">
        <v>1050</v>
      </c>
      <c r="I175" s="30">
        <f t="shared" si="2"/>
        <v>16800</v>
      </c>
      <c r="J175" s="33">
        <f t="shared" si="3"/>
        <v>59.523809523809526</v>
      </c>
    </row>
    <row r="176" spans="6:10" ht="15">
      <c r="F176" s="30">
        <v>2</v>
      </c>
      <c r="G176" s="30">
        <v>43</v>
      </c>
      <c r="H176" s="30">
        <v>1075</v>
      </c>
      <c r="I176" s="30">
        <f t="shared" si="2"/>
        <v>17200</v>
      </c>
      <c r="J176" s="33">
        <f t="shared" si="3"/>
        <v>58.139534883720934</v>
      </c>
    </row>
    <row r="177" spans="6:10" ht="15">
      <c r="F177" s="30">
        <v>2</v>
      </c>
      <c r="G177" s="30">
        <v>44</v>
      </c>
      <c r="H177" s="30">
        <v>1100</v>
      </c>
      <c r="I177" s="30">
        <f t="shared" si="2"/>
        <v>17600</v>
      </c>
      <c r="J177" s="33">
        <f t="shared" si="3"/>
        <v>56.81818181818182</v>
      </c>
    </row>
    <row r="178" spans="6:10" ht="15">
      <c r="F178" s="30">
        <v>2</v>
      </c>
      <c r="G178" s="30">
        <v>45</v>
      </c>
      <c r="H178" s="30">
        <v>1125</v>
      </c>
      <c r="I178" s="30">
        <f t="shared" si="2"/>
        <v>18000</v>
      </c>
      <c r="J178" s="33">
        <f t="shared" si="3"/>
        <v>55.555555555555557</v>
      </c>
    </row>
    <row r="179" spans="6:10" ht="15">
      <c r="F179" s="30">
        <v>2</v>
      </c>
      <c r="G179" s="30">
        <v>46</v>
      </c>
      <c r="H179" s="30">
        <v>1150</v>
      </c>
      <c r="I179" s="30">
        <f t="shared" si="2"/>
        <v>18400</v>
      </c>
      <c r="J179" s="33">
        <f t="shared" si="3"/>
        <v>54.347826086956523</v>
      </c>
    </row>
    <row r="180" spans="6:10" ht="15">
      <c r="F180" s="30">
        <v>2</v>
      </c>
      <c r="G180" s="30">
        <v>47</v>
      </c>
      <c r="H180" s="30">
        <v>1175</v>
      </c>
      <c r="I180" s="30">
        <f t="shared" si="2"/>
        <v>18800</v>
      </c>
      <c r="J180" s="33">
        <f t="shared" si="3"/>
        <v>53.191489361702125</v>
      </c>
    </row>
    <row r="181" spans="6:10" ht="15">
      <c r="F181" s="30">
        <v>2</v>
      </c>
      <c r="G181" s="30">
        <v>48</v>
      </c>
      <c r="H181" s="30">
        <v>1200</v>
      </c>
      <c r="I181" s="30">
        <f t="shared" si="2"/>
        <v>19200</v>
      </c>
      <c r="J181" s="33">
        <f t="shared" si="3"/>
        <v>52.083333333333336</v>
      </c>
    </row>
    <row r="182" spans="6:10" ht="15">
      <c r="F182" s="30">
        <v>2</v>
      </c>
      <c r="G182" s="30">
        <v>49</v>
      </c>
      <c r="H182" s="30">
        <v>1225</v>
      </c>
      <c r="I182" s="30">
        <f t="shared" si="2"/>
        <v>19600</v>
      </c>
      <c r="J182" s="33">
        <f t="shared" si="3"/>
        <v>51.020408163265309</v>
      </c>
    </row>
    <row r="183" spans="6:10" ht="15">
      <c r="F183" s="30">
        <v>2</v>
      </c>
      <c r="G183" s="30">
        <v>50</v>
      </c>
      <c r="H183" s="30">
        <v>1250</v>
      </c>
      <c r="I183" s="30">
        <f t="shared" si="2"/>
        <v>20000</v>
      </c>
      <c r="J183" s="33">
        <f t="shared" si="3"/>
        <v>50</v>
      </c>
    </row>
    <row r="184" spans="6:10" ht="15">
      <c r="F184" s="30">
        <v>2</v>
      </c>
      <c r="G184" s="30">
        <v>51</v>
      </c>
      <c r="H184" s="30">
        <v>1275</v>
      </c>
      <c r="I184" s="30">
        <f t="shared" si="2"/>
        <v>20400</v>
      </c>
      <c r="J184" s="33">
        <f t="shared" si="3"/>
        <v>49.019607843137251</v>
      </c>
    </row>
    <row r="185" spans="6:10" ht="15">
      <c r="F185" s="30">
        <v>2</v>
      </c>
      <c r="G185" s="30">
        <v>52</v>
      </c>
      <c r="H185" s="30">
        <v>1300</v>
      </c>
      <c r="I185" s="30">
        <f t="shared" si="2"/>
        <v>20800</v>
      </c>
      <c r="J185" s="33">
        <f t="shared" si="3"/>
        <v>48.07692307692308</v>
      </c>
    </row>
    <row r="186" spans="6:10" ht="15">
      <c r="F186" s="30">
        <v>2</v>
      </c>
      <c r="G186" s="30">
        <v>53</v>
      </c>
      <c r="H186" s="30">
        <v>1325</v>
      </c>
      <c r="I186" s="30">
        <f t="shared" si="2"/>
        <v>21200</v>
      </c>
      <c r="J186" s="33">
        <f t="shared" si="3"/>
        <v>47.169811320754718</v>
      </c>
    </row>
    <row r="187" spans="6:10" ht="15">
      <c r="F187" s="30">
        <v>2</v>
      </c>
      <c r="G187" s="30">
        <v>54</v>
      </c>
      <c r="H187" s="30">
        <v>1350</v>
      </c>
      <c r="I187" s="30">
        <f t="shared" si="2"/>
        <v>21600</v>
      </c>
      <c r="J187" s="33">
        <f t="shared" si="3"/>
        <v>46.296296296296291</v>
      </c>
    </row>
    <row r="188" spans="6:10" ht="15">
      <c r="F188" s="30">
        <v>2</v>
      </c>
      <c r="G188" s="30">
        <v>55</v>
      </c>
      <c r="H188" s="30">
        <v>1375</v>
      </c>
      <c r="I188" s="30">
        <f t="shared" si="2"/>
        <v>22000</v>
      </c>
      <c r="J188" s="33">
        <f t="shared" si="3"/>
        <v>45.454545454545453</v>
      </c>
    </row>
    <row r="189" spans="6:10" ht="15">
      <c r="F189" s="30">
        <v>2</v>
      </c>
      <c r="G189" s="30">
        <v>56</v>
      </c>
      <c r="H189" s="30">
        <v>1400</v>
      </c>
      <c r="I189" s="30">
        <f t="shared" si="2"/>
        <v>22400</v>
      </c>
      <c r="J189" s="33">
        <f t="shared" si="3"/>
        <v>44.642857142857146</v>
      </c>
    </row>
    <row r="190" spans="6:10" ht="15">
      <c r="F190" s="30">
        <v>2</v>
      </c>
      <c r="G190" s="30">
        <v>57</v>
      </c>
      <c r="H190" s="30">
        <v>1425</v>
      </c>
      <c r="I190" s="30">
        <f t="shared" si="2"/>
        <v>22800</v>
      </c>
      <c r="J190" s="33">
        <f t="shared" si="3"/>
        <v>43.859649122807014</v>
      </c>
    </row>
    <row r="191" spans="6:10" ht="15">
      <c r="F191" s="30">
        <v>2</v>
      </c>
      <c r="G191" s="30">
        <v>58</v>
      </c>
      <c r="H191" s="30">
        <v>1450</v>
      </c>
      <c r="I191" s="30">
        <f t="shared" si="2"/>
        <v>23200</v>
      </c>
      <c r="J191" s="33">
        <f t="shared" si="3"/>
        <v>43.103448275862064</v>
      </c>
    </row>
    <row r="192" spans="6:10" ht="15">
      <c r="F192" s="30">
        <v>2</v>
      </c>
      <c r="G192" s="30">
        <v>59</v>
      </c>
      <c r="H192" s="30">
        <v>1475</v>
      </c>
      <c r="I192" s="30">
        <f t="shared" si="2"/>
        <v>23600</v>
      </c>
      <c r="J192" s="33">
        <f t="shared" si="3"/>
        <v>42.372881355932208</v>
      </c>
    </row>
    <row r="193" spans="6:10" ht="15">
      <c r="F193" s="30">
        <v>2</v>
      </c>
      <c r="G193" s="30">
        <v>60</v>
      </c>
      <c r="H193" s="30">
        <v>1500</v>
      </c>
      <c r="I193" s="30">
        <f t="shared" si="2"/>
        <v>24000</v>
      </c>
      <c r="J193" s="33">
        <f t="shared" si="3"/>
        <v>41.666666666666664</v>
      </c>
    </row>
    <row r="194" spans="6:10" ht="15">
      <c r="F194" s="30">
        <v>2</v>
      </c>
      <c r="G194" s="30">
        <v>61</v>
      </c>
      <c r="H194" s="30">
        <v>1525</v>
      </c>
      <c r="I194" s="30">
        <f t="shared" si="2"/>
        <v>24400</v>
      </c>
      <c r="J194" s="33">
        <f t="shared" si="3"/>
        <v>40.983606557377051</v>
      </c>
    </row>
    <row r="195" spans="6:10" ht="15">
      <c r="F195" s="30">
        <v>2</v>
      </c>
      <c r="G195" s="30">
        <v>62</v>
      </c>
      <c r="H195" s="30">
        <v>1550</v>
      </c>
      <c r="I195" s="30">
        <f t="shared" si="2"/>
        <v>24800</v>
      </c>
      <c r="J195" s="33">
        <f t="shared" si="3"/>
        <v>40.322580645161288</v>
      </c>
    </row>
    <row r="196" spans="6:10" ht="15">
      <c r="F196" s="30">
        <v>2</v>
      </c>
      <c r="G196" s="30">
        <v>63</v>
      </c>
      <c r="H196" s="30">
        <v>1575</v>
      </c>
      <c r="I196" s="30">
        <f t="shared" si="2"/>
        <v>25200</v>
      </c>
      <c r="J196" s="33">
        <f t="shared" si="3"/>
        <v>39.682539682539684</v>
      </c>
    </row>
    <row r="197" spans="6:10" ht="15">
      <c r="F197" s="30">
        <v>2</v>
      </c>
      <c r="G197" s="30">
        <v>64</v>
      </c>
      <c r="H197" s="30">
        <v>1600</v>
      </c>
      <c r="I197" s="30">
        <f t="shared" si="2"/>
        <v>25600</v>
      </c>
      <c r="J197" s="33">
        <f t="shared" si="3"/>
        <v>39.0625</v>
      </c>
    </row>
    <row r="198" spans="6:10" ht="15">
      <c r="F198" s="30">
        <v>3</v>
      </c>
      <c r="G198" s="30">
        <v>1</v>
      </c>
      <c r="H198" s="30">
        <v>25</v>
      </c>
      <c r="I198" s="30">
        <f t="shared" si="2"/>
        <v>425</v>
      </c>
      <c r="J198" s="33">
        <f t="shared" si="3"/>
        <v>2352.9411764705878</v>
      </c>
    </row>
    <row r="199" spans="6:10" ht="15">
      <c r="F199" s="30">
        <v>3</v>
      </c>
      <c r="G199" s="30">
        <v>2</v>
      </c>
      <c r="H199" s="30">
        <v>50</v>
      </c>
      <c r="I199" s="30">
        <f t="shared" ref="I199:I262" si="4">(14+F199)*H199</f>
        <v>850</v>
      </c>
      <c r="J199" s="33">
        <f t="shared" ref="J199:J262" si="5">(1/I199)*1000000</f>
        <v>1176.4705882352939</v>
      </c>
    </row>
    <row r="200" spans="6:10" ht="15">
      <c r="F200" s="30">
        <v>3</v>
      </c>
      <c r="G200" s="30">
        <v>3</v>
      </c>
      <c r="H200" s="30">
        <v>75</v>
      </c>
      <c r="I200" s="30">
        <f t="shared" si="4"/>
        <v>1275</v>
      </c>
      <c r="J200" s="33">
        <f t="shared" si="5"/>
        <v>784.31372549019602</v>
      </c>
    </row>
    <row r="201" spans="6:10" ht="15">
      <c r="F201" s="30">
        <v>3</v>
      </c>
      <c r="G201" s="30">
        <v>4</v>
      </c>
      <c r="H201" s="30">
        <v>100</v>
      </c>
      <c r="I201" s="30">
        <f t="shared" si="4"/>
        <v>1700</v>
      </c>
      <c r="J201" s="33">
        <f t="shared" si="5"/>
        <v>588.23529411764696</v>
      </c>
    </row>
    <row r="202" spans="6:10" ht="15">
      <c r="F202" s="30">
        <v>3</v>
      </c>
      <c r="G202" s="30">
        <v>5</v>
      </c>
      <c r="H202" s="30">
        <v>125</v>
      </c>
      <c r="I202" s="30">
        <f t="shared" si="4"/>
        <v>2125</v>
      </c>
      <c r="J202" s="33">
        <f t="shared" si="5"/>
        <v>470.58823529411768</v>
      </c>
    </row>
    <row r="203" spans="6:10" ht="15">
      <c r="F203" s="30">
        <v>3</v>
      </c>
      <c r="G203" s="30">
        <v>6</v>
      </c>
      <c r="H203" s="30">
        <v>150</v>
      </c>
      <c r="I203" s="30">
        <f t="shared" si="4"/>
        <v>2550</v>
      </c>
      <c r="J203" s="33">
        <f t="shared" si="5"/>
        <v>392.15686274509801</v>
      </c>
    </row>
    <row r="204" spans="6:10" ht="15">
      <c r="F204" s="30">
        <v>3</v>
      </c>
      <c r="G204" s="30">
        <v>7</v>
      </c>
      <c r="H204" s="30">
        <v>175</v>
      </c>
      <c r="I204" s="30">
        <f t="shared" si="4"/>
        <v>2975</v>
      </c>
      <c r="J204" s="33">
        <f t="shared" si="5"/>
        <v>336.1344537815126</v>
      </c>
    </row>
    <row r="205" spans="6:10" ht="15">
      <c r="F205" s="30">
        <v>3</v>
      </c>
      <c r="G205" s="30">
        <v>8</v>
      </c>
      <c r="H205" s="30">
        <v>200</v>
      </c>
      <c r="I205" s="30">
        <f t="shared" si="4"/>
        <v>3400</v>
      </c>
      <c r="J205" s="33">
        <f t="shared" si="5"/>
        <v>294.11764705882348</v>
      </c>
    </row>
    <row r="206" spans="6:10" ht="15">
      <c r="F206" s="30">
        <v>3</v>
      </c>
      <c r="G206" s="30">
        <v>9</v>
      </c>
      <c r="H206" s="30">
        <v>225</v>
      </c>
      <c r="I206" s="30">
        <f t="shared" si="4"/>
        <v>3825</v>
      </c>
      <c r="J206" s="33">
        <f t="shared" si="5"/>
        <v>261.43790849673206</v>
      </c>
    </row>
    <row r="207" spans="6:10" ht="15">
      <c r="F207" s="30">
        <v>3</v>
      </c>
      <c r="G207" s="30">
        <v>10</v>
      </c>
      <c r="H207" s="30">
        <v>250</v>
      </c>
      <c r="I207" s="30">
        <f t="shared" si="4"/>
        <v>4250</v>
      </c>
      <c r="J207" s="33">
        <f t="shared" si="5"/>
        <v>235.29411764705884</v>
      </c>
    </row>
    <row r="208" spans="6:10" ht="15">
      <c r="F208" s="30">
        <v>3</v>
      </c>
      <c r="G208" s="30">
        <v>11</v>
      </c>
      <c r="H208" s="30">
        <v>275</v>
      </c>
      <c r="I208" s="30">
        <f t="shared" si="4"/>
        <v>4675</v>
      </c>
      <c r="J208" s="33">
        <f t="shared" si="5"/>
        <v>213.90374331550802</v>
      </c>
    </row>
    <row r="209" spans="6:10" ht="15">
      <c r="F209" s="30">
        <v>3</v>
      </c>
      <c r="G209" s="30">
        <v>12</v>
      </c>
      <c r="H209" s="30">
        <v>300</v>
      </c>
      <c r="I209" s="30">
        <f t="shared" si="4"/>
        <v>5100</v>
      </c>
      <c r="J209" s="33">
        <f t="shared" si="5"/>
        <v>196.07843137254901</v>
      </c>
    </row>
    <row r="210" spans="6:10" ht="15">
      <c r="F210" s="30">
        <v>3</v>
      </c>
      <c r="G210" s="30">
        <v>13</v>
      </c>
      <c r="H210" s="30">
        <v>325</v>
      </c>
      <c r="I210" s="30">
        <f t="shared" si="4"/>
        <v>5525</v>
      </c>
      <c r="J210" s="33">
        <f t="shared" si="5"/>
        <v>180.99547511312218</v>
      </c>
    </row>
    <row r="211" spans="6:10" ht="15">
      <c r="F211" s="30">
        <v>3</v>
      </c>
      <c r="G211" s="30">
        <v>14</v>
      </c>
      <c r="H211" s="30">
        <v>350</v>
      </c>
      <c r="I211" s="30">
        <f t="shared" si="4"/>
        <v>5950</v>
      </c>
      <c r="J211" s="33">
        <f t="shared" si="5"/>
        <v>168.0672268907563</v>
      </c>
    </row>
    <row r="212" spans="6:10" ht="15">
      <c r="F212" s="30">
        <v>3</v>
      </c>
      <c r="G212" s="30">
        <v>15</v>
      </c>
      <c r="H212" s="30">
        <v>375</v>
      </c>
      <c r="I212" s="30">
        <f t="shared" si="4"/>
        <v>6375</v>
      </c>
      <c r="J212" s="33">
        <f t="shared" si="5"/>
        <v>156.86274509803923</v>
      </c>
    </row>
    <row r="213" spans="6:10" ht="15">
      <c r="F213" s="30">
        <v>3</v>
      </c>
      <c r="G213" s="30">
        <v>16</v>
      </c>
      <c r="H213" s="30">
        <v>400</v>
      </c>
      <c r="I213" s="30">
        <f t="shared" si="4"/>
        <v>6800</v>
      </c>
      <c r="J213" s="33">
        <f t="shared" si="5"/>
        <v>147.05882352941174</v>
      </c>
    </row>
    <row r="214" spans="6:10" ht="15">
      <c r="F214" s="30">
        <v>3</v>
      </c>
      <c r="G214" s="30">
        <v>17</v>
      </c>
      <c r="H214" s="30">
        <v>425</v>
      </c>
      <c r="I214" s="30">
        <f t="shared" si="4"/>
        <v>7225</v>
      </c>
      <c r="J214" s="33">
        <f t="shared" si="5"/>
        <v>138.4083044982699</v>
      </c>
    </row>
    <row r="215" spans="6:10" ht="15">
      <c r="F215" s="30">
        <v>3</v>
      </c>
      <c r="G215" s="30">
        <v>18</v>
      </c>
      <c r="H215" s="30">
        <v>450</v>
      </c>
      <c r="I215" s="30">
        <f t="shared" si="4"/>
        <v>7650</v>
      </c>
      <c r="J215" s="33">
        <f t="shared" si="5"/>
        <v>130.71895424836603</v>
      </c>
    </row>
    <row r="216" spans="6:10" ht="15">
      <c r="F216" s="30">
        <v>3</v>
      </c>
      <c r="G216" s="30">
        <v>19</v>
      </c>
      <c r="H216" s="30">
        <v>475</v>
      </c>
      <c r="I216" s="30">
        <f t="shared" si="4"/>
        <v>8075</v>
      </c>
      <c r="J216" s="33">
        <f t="shared" si="5"/>
        <v>123.83900928792571</v>
      </c>
    </row>
    <row r="217" spans="6:10" ht="15">
      <c r="F217" s="30">
        <v>3</v>
      </c>
      <c r="G217" s="30">
        <v>20</v>
      </c>
      <c r="H217" s="30">
        <v>500</v>
      </c>
      <c r="I217" s="30">
        <f t="shared" si="4"/>
        <v>8500</v>
      </c>
      <c r="J217" s="33">
        <f t="shared" si="5"/>
        <v>117.64705882352942</v>
      </c>
    </row>
    <row r="218" spans="6:10" ht="15">
      <c r="F218" s="30">
        <v>3</v>
      </c>
      <c r="G218" s="30">
        <v>21</v>
      </c>
      <c r="H218" s="30">
        <v>525</v>
      </c>
      <c r="I218" s="30">
        <f t="shared" si="4"/>
        <v>8925</v>
      </c>
      <c r="J218" s="33">
        <f t="shared" si="5"/>
        <v>112.04481792717087</v>
      </c>
    </row>
    <row r="219" spans="6:10" ht="15">
      <c r="F219" s="30">
        <v>3</v>
      </c>
      <c r="G219" s="30">
        <v>22</v>
      </c>
      <c r="H219" s="30">
        <v>550</v>
      </c>
      <c r="I219" s="30">
        <f t="shared" si="4"/>
        <v>9350</v>
      </c>
      <c r="J219" s="33">
        <f t="shared" si="5"/>
        <v>106.95187165775401</v>
      </c>
    </row>
    <row r="220" spans="6:10" ht="15">
      <c r="F220" s="30">
        <v>3</v>
      </c>
      <c r="G220" s="30">
        <v>23</v>
      </c>
      <c r="H220" s="30">
        <v>575</v>
      </c>
      <c r="I220" s="30">
        <f t="shared" si="4"/>
        <v>9775</v>
      </c>
      <c r="J220" s="33">
        <f t="shared" si="5"/>
        <v>102.30179028132993</v>
      </c>
    </row>
    <row r="221" spans="6:10" ht="15">
      <c r="F221" s="30">
        <v>3</v>
      </c>
      <c r="G221" s="30">
        <v>24</v>
      </c>
      <c r="H221" s="30">
        <v>600</v>
      </c>
      <c r="I221" s="30">
        <f t="shared" si="4"/>
        <v>10200</v>
      </c>
      <c r="J221" s="33">
        <f t="shared" si="5"/>
        <v>98.039215686274503</v>
      </c>
    </row>
    <row r="222" spans="6:10" ht="15">
      <c r="F222" s="30">
        <v>3</v>
      </c>
      <c r="G222" s="30">
        <v>25</v>
      </c>
      <c r="H222" s="30">
        <v>625</v>
      </c>
      <c r="I222" s="30">
        <f t="shared" si="4"/>
        <v>10625</v>
      </c>
      <c r="J222" s="33">
        <f t="shared" si="5"/>
        <v>94.117647058823536</v>
      </c>
    </row>
    <row r="223" spans="6:10" ht="15">
      <c r="F223" s="30">
        <v>3</v>
      </c>
      <c r="G223" s="30">
        <v>26</v>
      </c>
      <c r="H223" s="30">
        <v>650</v>
      </c>
      <c r="I223" s="30">
        <f t="shared" si="4"/>
        <v>11050</v>
      </c>
      <c r="J223" s="33">
        <f t="shared" si="5"/>
        <v>90.497737556561091</v>
      </c>
    </row>
    <row r="224" spans="6:10" ht="15">
      <c r="F224" s="30">
        <v>3</v>
      </c>
      <c r="G224" s="30">
        <v>27</v>
      </c>
      <c r="H224" s="30">
        <v>675</v>
      </c>
      <c r="I224" s="30">
        <f t="shared" si="4"/>
        <v>11475</v>
      </c>
      <c r="J224" s="33">
        <f t="shared" si="5"/>
        <v>87.145969498910674</v>
      </c>
    </row>
    <row r="225" spans="6:10" ht="15">
      <c r="F225" s="30">
        <v>3</v>
      </c>
      <c r="G225" s="30">
        <v>28</v>
      </c>
      <c r="H225" s="30">
        <v>700</v>
      </c>
      <c r="I225" s="30">
        <f t="shared" si="4"/>
        <v>11900</v>
      </c>
      <c r="J225" s="33">
        <f t="shared" si="5"/>
        <v>84.033613445378151</v>
      </c>
    </row>
    <row r="226" spans="6:10" ht="15">
      <c r="F226" s="30">
        <v>3</v>
      </c>
      <c r="G226" s="30">
        <v>29</v>
      </c>
      <c r="H226" s="30">
        <v>725</v>
      </c>
      <c r="I226" s="30">
        <f t="shared" si="4"/>
        <v>12325</v>
      </c>
      <c r="J226" s="33">
        <f t="shared" si="5"/>
        <v>81.135902636916825</v>
      </c>
    </row>
    <row r="227" spans="6:10" ht="15">
      <c r="F227" s="30">
        <v>3</v>
      </c>
      <c r="G227" s="30">
        <v>30</v>
      </c>
      <c r="H227" s="30">
        <v>750</v>
      </c>
      <c r="I227" s="30">
        <f t="shared" si="4"/>
        <v>12750</v>
      </c>
      <c r="J227" s="33">
        <f t="shared" si="5"/>
        <v>78.431372549019613</v>
      </c>
    </row>
    <row r="228" spans="6:10" ht="15">
      <c r="F228" s="30">
        <v>3</v>
      </c>
      <c r="G228" s="30">
        <v>31</v>
      </c>
      <c r="H228" s="30">
        <v>775</v>
      </c>
      <c r="I228" s="30">
        <f t="shared" si="4"/>
        <v>13175</v>
      </c>
      <c r="J228" s="33">
        <f t="shared" si="5"/>
        <v>75.901328273244786</v>
      </c>
    </row>
    <row r="229" spans="6:10" ht="15">
      <c r="F229" s="30">
        <v>3</v>
      </c>
      <c r="G229" s="30">
        <v>32</v>
      </c>
      <c r="H229" s="30">
        <v>800</v>
      </c>
      <c r="I229" s="30">
        <f t="shared" si="4"/>
        <v>13600</v>
      </c>
      <c r="J229" s="33">
        <f t="shared" si="5"/>
        <v>73.52941176470587</v>
      </c>
    </row>
    <row r="230" spans="6:10" ht="15">
      <c r="F230" s="30">
        <v>3</v>
      </c>
      <c r="G230" s="30">
        <v>33</v>
      </c>
      <c r="H230" s="30">
        <v>825</v>
      </c>
      <c r="I230" s="30">
        <f t="shared" si="4"/>
        <v>14025</v>
      </c>
      <c r="J230" s="33">
        <f t="shared" si="5"/>
        <v>71.301247771836003</v>
      </c>
    </row>
    <row r="231" spans="6:10" ht="15">
      <c r="F231" s="30">
        <v>3</v>
      </c>
      <c r="G231" s="30">
        <v>34</v>
      </c>
      <c r="H231" s="30">
        <v>850</v>
      </c>
      <c r="I231" s="30">
        <f t="shared" si="4"/>
        <v>14450</v>
      </c>
      <c r="J231" s="33">
        <f t="shared" si="5"/>
        <v>69.20415224913495</v>
      </c>
    </row>
    <row r="232" spans="6:10" ht="15">
      <c r="F232" s="30">
        <v>3</v>
      </c>
      <c r="G232" s="30">
        <v>35</v>
      </c>
      <c r="H232" s="30">
        <v>875</v>
      </c>
      <c r="I232" s="30">
        <f t="shared" si="4"/>
        <v>14875</v>
      </c>
      <c r="J232" s="33">
        <f t="shared" si="5"/>
        <v>67.226890756302524</v>
      </c>
    </row>
    <row r="233" spans="6:10" ht="15">
      <c r="F233" s="30">
        <v>3</v>
      </c>
      <c r="G233" s="30">
        <v>36</v>
      </c>
      <c r="H233" s="30">
        <v>900</v>
      </c>
      <c r="I233" s="30">
        <f t="shared" si="4"/>
        <v>15300</v>
      </c>
      <c r="J233" s="33">
        <f t="shared" si="5"/>
        <v>65.359477124183016</v>
      </c>
    </row>
    <row r="234" spans="6:10" ht="15">
      <c r="F234" s="30">
        <v>3</v>
      </c>
      <c r="G234" s="30">
        <v>37</v>
      </c>
      <c r="H234" s="30">
        <v>925</v>
      </c>
      <c r="I234" s="30">
        <f t="shared" si="4"/>
        <v>15725</v>
      </c>
      <c r="J234" s="33">
        <f t="shared" si="5"/>
        <v>63.593004769475357</v>
      </c>
    </row>
    <row r="235" spans="6:10" ht="15">
      <c r="F235" s="30">
        <v>3</v>
      </c>
      <c r="G235" s="30">
        <v>38</v>
      </c>
      <c r="H235" s="30">
        <v>950</v>
      </c>
      <c r="I235" s="30">
        <f t="shared" si="4"/>
        <v>16150</v>
      </c>
      <c r="J235" s="33">
        <f t="shared" si="5"/>
        <v>61.919504643962853</v>
      </c>
    </row>
    <row r="236" spans="6:10" ht="15">
      <c r="F236" s="30">
        <v>3</v>
      </c>
      <c r="G236" s="30">
        <v>39</v>
      </c>
      <c r="H236" s="30">
        <v>975</v>
      </c>
      <c r="I236" s="30">
        <f t="shared" si="4"/>
        <v>16575</v>
      </c>
      <c r="J236" s="33">
        <f t="shared" si="5"/>
        <v>60.331825037707389</v>
      </c>
    </row>
    <row r="237" spans="6:10" ht="15">
      <c r="F237" s="30">
        <v>3</v>
      </c>
      <c r="G237" s="30">
        <v>40</v>
      </c>
      <c r="H237" s="30">
        <v>1000</v>
      </c>
      <c r="I237" s="30">
        <f t="shared" si="4"/>
        <v>17000</v>
      </c>
      <c r="J237" s="33">
        <f t="shared" si="5"/>
        <v>58.82352941176471</v>
      </c>
    </row>
    <row r="238" spans="6:10" ht="15">
      <c r="F238" s="30">
        <v>3</v>
      </c>
      <c r="G238" s="30">
        <v>41</v>
      </c>
      <c r="H238" s="30">
        <v>1025</v>
      </c>
      <c r="I238" s="30">
        <f t="shared" si="4"/>
        <v>17425</v>
      </c>
      <c r="J238" s="33">
        <f t="shared" si="5"/>
        <v>57.388809182209471</v>
      </c>
    </row>
    <row r="239" spans="6:10" ht="15">
      <c r="F239" s="30">
        <v>3</v>
      </c>
      <c r="G239" s="30">
        <v>42</v>
      </c>
      <c r="H239" s="30">
        <v>1050</v>
      </c>
      <c r="I239" s="30">
        <f t="shared" si="4"/>
        <v>17850</v>
      </c>
      <c r="J239" s="33">
        <f t="shared" si="5"/>
        <v>56.022408963585434</v>
      </c>
    </row>
    <row r="240" spans="6:10" ht="15">
      <c r="F240" s="30">
        <v>3</v>
      </c>
      <c r="G240" s="30">
        <v>43</v>
      </c>
      <c r="H240" s="30">
        <v>1075</v>
      </c>
      <c r="I240" s="30">
        <f t="shared" si="4"/>
        <v>18275</v>
      </c>
      <c r="J240" s="33">
        <f t="shared" si="5"/>
        <v>54.719562243502047</v>
      </c>
    </row>
    <row r="241" spans="6:10" ht="15">
      <c r="F241" s="30">
        <v>3</v>
      </c>
      <c r="G241" s="30">
        <v>44</v>
      </c>
      <c r="H241" s="30">
        <v>1100</v>
      </c>
      <c r="I241" s="30">
        <f t="shared" si="4"/>
        <v>18700</v>
      </c>
      <c r="J241" s="33">
        <f t="shared" si="5"/>
        <v>53.475935828877006</v>
      </c>
    </row>
    <row r="242" spans="6:10" ht="15">
      <c r="F242" s="30">
        <v>3</v>
      </c>
      <c r="G242" s="30">
        <v>45</v>
      </c>
      <c r="H242" s="30">
        <v>1125</v>
      </c>
      <c r="I242" s="30">
        <f t="shared" si="4"/>
        <v>19125</v>
      </c>
      <c r="J242" s="33">
        <f t="shared" si="5"/>
        <v>52.287581699346404</v>
      </c>
    </row>
    <row r="243" spans="6:10" ht="15">
      <c r="F243" s="30">
        <v>3</v>
      </c>
      <c r="G243" s="30">
        <v>46</v>
      </c>
      <c r="H243" s="30">
        <v>1150</v>
      </c>
      <c r="I243" s="30">
        <f t="shared" si="4"/>
        <v>19550</v>
      </c>
      <c r="J243" s="33">
        <f t="shared" si="5"/>
        <v>51.150895140664964</v>
      </c>
    </row>
    <row r="244" spans="6:10" ht="15">
      <c r="F244" s="30">
        <v>3</v>
      </c>
      <c r="G244" s="30">
        <v>47</v>
      </c>
      <c r="H244" s="30">
        <v>1175</v>
      </c>
      <c r="I244" s="30">
        <f t="shared" si="4"/>
        <v>19975</v>
      </c>
      <c r="J244" s="33">
        <f t="shared" si="5"/>
        <v>50.06257822277847</v>
      </c>
    </row>
    <row r="245" spans="6:10" ht="15">
      <c r="F245" s="30">
        <v>3</v>
      </c>
      <c r="G245" s="30">
        <v>48</v>
      </c>
      <c r="H245" s="30">
        <v>1200</v>
      </c>
      <c r="I245" s="30">
        <f t="shared" si="4"/>
        <v>20400</v>
      </c>
      <c r="J245" s="33">
        <f t="shared" si="5"/>
        <v>49.019607843137251</v>
      </c>
    </row>
    <row r="246" spans="6:10" ht="15">
      <c r="F246" s="30">
        <v>3</v>
      </c>
      <c r="G246" s="30">
        <v>49</v>
      </c>
      <c r="H246" s="30">
        <v>1225</v>
      </c>
      <c r="I246" s="30">
        <f t="shared" si="4"/>
        <v>20825</v>
      </c>
      <c r="J246" s="33">
        <f t="shared" si="5"/>
        <v>48.019207683073226</v>
      </c>
    </row>
    <row r="247" spans="6:10" ht="15">
      <c r="F247" s="30">
        <v>3</v>
      </c>
      <c r="G247" s="30">
        <v>50</v>
      </c>
      <c r="H247" s="30">
        <v>1250</v>
      </c>
      <c r="I247" s="30">
        <f t="shared" si="4"/>
        <v>21250</v>
      </c>
      <c r="J247" s="33">
        <f t="shared" si="5"/>
        <v>47.058823529411768</v>
      </c>
    </row>
    <row r="248" spans="6:10" ht="15">
      <c r="F248" s="30">
        <v>3</v>
      </c>
      <c r="G248" s="30">
        <v>51</v>
      </c>
      <c r="H248" s="30">
        <v>1275</v>
      </c>
      <c r="I248" s="30">
        <f t="shared" si="4"/>
        <v>21675</v>
      </c>
      <c r="J248" s="33">
        <f t="shared" si="5"/>
        <v>46.136101499423297</v>
      </c>
    </row>
    <row r="249" spans="6:10" ht="15">
      <c r="F249" s="30">
        <v>3</v>
      </c>
      <c r="G249" s="30">
        <v>52</v>
      </c>
      <c r="H249" s="30">
        <v>1300</v>
      </c>
      <c r="I249" s="30">
        <f t="shared" si="4"/>
        <v>22100</v>
      </c>
      <c r="J249" s="33">
        <f t="shared" si="5"/>
        <v>45.248868778280546</v>
      </c>
    </row>
    <row r="250" spans="6:10" ht="15">
      <c r="F250" s="30">
        <v>3</v>
      </c>
      <c r="G250" s="30">
        <v>53</v>
      </c>
      <c r="H250" s="30">
        <v>1325</v>
      </c>
      <c r="I250" s="30">
        <f t="shared" si="4"/>
        <v>22525</v>
      </c>
      <c r="J250" s="33">
        <f t="shared" si="5"/>
        <v>44.395116537180911</v>
      </c>
    </row>
    <row r="251" spans="6:10" ht="15">
      <c r="F251" s="30">
        <v>3</v>
      </c>
      <c r="G251" s="30">
        <v>54</v>
      </c>
      <c r="H251" s="30">
        <v>1350</v>
      </c>
      <c r="I251" s="30">
        <f t="shared" si="4"/>
        <v>22950</v>
      </c>
      <c r="J251" s="33">
        <f t="shared" si="5"/>
        <v>43.572984749455337</v>
      </c>
    </row>
    <row r="252" spans="6:10" ht="15">
      <c r="F252" s="30">
        <v>3</v>
      </c>
      <c r="G252" s="30">
        <v>55</v>
      </c>
      <c r="H252" s="30">
        <v>1375</v>
      </c>
      <c r="I252" s="30">
        <f t="shared" si="4"/>
        <v>23375</v>
      </c>
      <c r="J252" s="33">
        <f t="shared" si="5"/>
        <v>42.780748663101605</v>
      </c>
    </row>
    <row r="253" spans="6:10" ht="15">
      <c r="F253" s="30">
        <v>3</v>
      </c>
      <c r="G253" s="30">
        <v>56</v>
      </c>
      <c r="H253" s="30">
        <v>1400</v>
      </c>
      <c r="I253" s="30">
        <f t="shared" si="4"/>
        <v>23800</v>
      </c>
      <c r="J253" s="33">
        <f t="shared" si="5"/>
        <v>42.016806722689076</v>
      </c>
    </row>
    <row r="254" spans="6:10" ht="15">
      <c r="F254" s="30">
        <v>3</v>
      </c>
      <c r="G254" s="30">
        <v>57</v>
      </c>
      <c r="H254" s="30">
        <v>1425</v>
      </c>
      <c r="I254" s="30">
        <f t="shared" si="4"/>
        <v>24225</v>
      </c>
      <c r="J254" s="33">
        <f t="shared" si="5"/>
        <v>41.279669762641902</v>
      </c>
    </row>
    <row r="255" spans="6:10" ht="15">
      <c r="F255" s="30">
        <v>3</v>
      </c>
      <c r="G255" s="30">
        <v>58</v>
      </c>
      <c r="H255" s="30">
        <v>1450</v>
      </c>
      <c r="I255" s="30">
        <f t="shared" si="4"/>
        <v>24650</v>
      </c>
      <c r="J255" s="33">
        <f t="shared" si="5"/>
        <v>40.567951318458412</v>
      </c>
    </row>
    <row r="256" spans="6:10" ht="15">
      <c r="F256" s="30">
        <v>3</v>
      </c>
      <c r="G256" s="30">
        <v>59</v>
      </c>
      <c r="H256" s="30">
        <v>1475</v>
      </c>
      <c r="I256" s="30">
        <f t="shared" si="4"/>
        <v>25075</v>
      </c>
      <c r="J256" s="33">
        <f t="shared" si="5"/>
        <v>39.880358923230304</v>
      </c>
    </row>
    <row r="257" spans="6:10" ht="15">
      <c r="F257" s="30">
        <v>3</v>
      </c>
      <c r="G257" s="30">
        <v>60</v>
      </c>
      <c r="H257" s="30">
        <v>1500</v>
      </c>
      <c r="I257" s="30">
        <f t="shared" si="4"/>
        <v>25500</v>
      </c>
      <c r="J257" s="33">
        <f t="shared" si="5"/>
        <v>39.215686274509807</v>
      </c>
    </row>
    <row r="258" spans="6:10" ht="15">
      <c r="F258" s="30">
        <v>3</v>
      </c>
      <c r="G258" s="30">
        <v>61</v>
      </c>
      <c r="H258" s="30">
        <v>1525</v>
      </c>
      <c r="I258" s="30">
        <f t="shared" si="4"/>
        <v>25925</v>
      </c>
      <c r="J258" s="33">
        <f t="shared" si="5"/>
        <v>38.572806171648985</v>
      </c>
    </row>
    <row r="259" spans="6:10" ht="15">
      <c r="F259" s="30">
        <v>3</v>
      </c>
      <c r="G259" s="30">
        <v>62</v>
      </c>
      <c r="H259" s="30">
        <v>1550</v>
      </c>
      <c r="I259" s="30">
        <f t="shared" si="4"/>
        <v>26350</v>
      </c>
      <c r="J259" s="33">
        <f t="shared" si="5"/>
        <v>37.950664136622393</v>
      </c>
    </row>
    <row r="260" spans="6:10" ht="15">
      <c r="F260" s="30">
        <v>3</v>
      </c>
      <c r="G260" s="30">
        <v>63</v>
      </c>
      <c r="H260" s="30">
        <v>1575</v>
      </c>
      <c r="I260" s="30">
        <f t="shared" si="4"/>
        <v>26775</v>
      </c>
      <c r="J260" s="33">
        <f t="shared" si="5"/>
        <v>37.348272642390292</v>
      </c>
    </row>
    <row r="261" spans="6:10" ht="15">
      <c r="F261" s="30">
        <v>3</v>
      </c>
      <c r="G261" s="30">
        <v>64</v>
      </c>
      <c r="H261" s="30">
        <v>1600</v>
      </c>
      <c r="I261" s="30">
        <f t="shared" si="4"/>
        <v>27200</v>
      </c>
      <c r="J261" s="33">
        <f t="shared" si="5"/>
        <v>36.764705882352935</v>
      </c>
    </row>
    <row r="262" spans="6:10" ht="15">
      <c r="F262" s="30">
        <v>4</v>
      </c>
      <c r="G262" s="30">
        <v>1</v>
      </c>
      <c r="H262" s="30">
        <v>25</v>
      </c>
      <c r="I262" s="30">
        <f t="shared" si="4"/>
        <v>450</v>
      </c>
      <c r="J262" s="33">
        <f t="shared" si="5"/>
        <v>2222.2222222222222</v>
      </c>
    </row>
    <row r="263" spans="6:10" ht="15">
      <c r="F263" s="30">
        <v>4</v>
      </c>
      <c r="G263" s="30">
        <v>2</v>
      </c>
      <c r="H263" s="30">
        <v>50</v>
      </c>
      <c r="I263" s="30">
        <f t="shared" ref="I263:I326" si="6">(14+F263)*H263</f>
        <v>900</v>
      </c>
      <c r="J263" s="33">
        <f t="shared" ref="J263:J326" si="7">(1/I263)*1000000</f>
        <v>1111.1111111111111</v>
      </c>
    </row>
    <row r="264" spans="6:10" ht="15">
      <c r="F264" s="30">
        <v>4</v>
      </c>
      <c r="G264" s="30">
        <v>3</v>
      </c>
      <c r="H264" s="30">
        <v>75</v>
      </c>
      <c r="I264" s="30">
        <f t="shared" si="6"/>
        <v>1350</v>
      </c>
      <c r="J264" s="33">
        <f t="shared" si="7"/>
        <v>740.74074074074065</v>
      </c>
    </row>
    <row r="265" spans="6:10" ht="15">
      <c r="F265" s="30">
        <v>4</v>
      </c>
      <c r="G265" s="30">
        <v>4</v>
      </c>
      <c r="H265" s="30">
        <v>100</v>
      </c>
      <c r="I265" s="30">
        <f t="shared" si="6"/>
        <v>1800</v>
      </c>
      <c r="J265" s="33">
        <f t="shared" si="7"/>
        <v>555.55555555555554</v>
      </c>
    </row>
    <row r="266" spans="6:10" ht="15">
      <c r="F266" s="30">
        <v>4</v>
      </c>
      <c r="G266" s="30">
        <v>5</v>
      </c>
      <c r="H266" s="30">
        <v>125</v>
      </c>
      <c r="I266" s="30">
        <f t="shared" si="6"/>
        <v>2250</v>
      </c>
      <c r="J266" s="33">
        <f t="shared" si="7"/>
        <v>444.44444444444446</v>
      </c>
    </row>
    <row r="267" spans="6:10" ht="15">
      <c r="F267" s="30">
        <v>4</v>
      </c>
      <c r="G267" s="30">
        <v>6</v>
      </c>
      <c r="H267" s="30">
        <v>150</v>
      </c>
      <c r="I267" s="30">
        <f t="shared" si="6"/>
        <v>2700</v>
      </c>
      <c r="J267" s="33">
        <f t="shared" si="7"/>
        <v>370.37037037037032</v>
      </c>
    </row>
    <row r="268" spans="6:10" ht="15">
      <c r="F268" s="30">
        <v>4</v>
      </c>
      <c r="G268" s="30">
        <v>7</v>
      </c>
      <c r="H268" s="30">
        <v>175</v>
      </c>
      <c r="I268" s="30">
        <f t="shared" si="6"/>
        <v>3150</v>
      </c>
      <c r="J268" s="33">
        <f t="shared" si="7"/>
        <v>317.46031746031747</v>
      </c>
    </row>
    <row r="269" spans="6:10" ht="15">
      <c r="F269" s="30">
        <v>4</v>
      </c>
      <c r="G269" s="30">
        <v>8</v>
      </c>
      <c r="H269" s="30">
        <v>200</v>
      </c>
      <c r="I269" s="30">
        <f t="shared" si="6"/>
        <v>3600</v>
      </c>
      <c r="J269" s="33">
        <f t="shared" si="7"/>
        <v>277.77777777777777</v>
      </c>
    </row>
    <row r="270" spans="6:10" ht="15">
      <c r="F270" s="30">
        <v>4</v>
      </c>
      <c r="G270" s="30">
        <v>9</v>
      </c>
      <c r="H270" s="30">
        <v>225</v>
      </c>
      <c r="I270" s="30">
        <f t="shared" si="6"/>
        <v>4050</v>
      </c>
      <c r="J270" s="33">
        <f t="shared" si="7"/>
        <v>246.9135802469136</v>
      </c>
    </row>
    <row r="271" spans="6:10" ht="15">
      <c r="F271" s="30">
        <v>4</v>
      </c>
      <c r="G271" s="30">
        <v>10</v>
      </c>
      <c r="H271" s="30">
        <v>250</v>
      </c>
      <c r="I271" s="30">
        <f t="shared" si="6"/>
        <v>4500</v>
      </c>
      <c r="J271" s="33">
        <f t="shared" si="7"/>
        <v>222.22222222222223</v>
      </c>
    </row>
    <row r="272" spans="6:10" ht="15">
      <c r="F272" s="30">
        <v>4</v>
      </c>
      <c r="G272" s="30">
        <v>11</v>
      </c>
      <c r="H272" s="30">
        <v>275</v>
      </c>
      <c r="I272" s="30">
        <f t="shared" si="6"/>
        <v>4950</v>
      </c>
      <c r="J272" s="33">
        <f t="shared" si="7"/>
        <v>202.02020202020202</v>
      </c>
    </row>
    <row r="273" spans="6:10" ht="15">
      <c r="F273" s="30">
        <v>4</v>
      </c>
      <c r="G273" s="30">
        <v>12</v>
      </c>
      <c r="H273" s="30">
        <v>300</v>
      </c>
      <c r="I273" s="30">
        <f t="shared" si="6"/>
        <v>5400</v>
      </c>
      <c r="J273" s="33">
        <f t="shared" si="7"/>
        <v>185.18518518518516</v>
      </c>
    </row>
    <row r="274" spans="6:10" ht="15">
      <c r="F274" s="30">
        <v>4</v>
      </c>
      <c r="G274" s="30">
        <v>13</v>
      </c>
      <c r="H274" s="30">
        <v>325</v>
      </c>
      <c r="I274" s="30">
        <f t="shared" si="6"/>
        <v>5850</v>
      </c>
      <c r="J274" s="33">
        <f t="shared" si="7"/>
        <v>170.94017094017093</v>
      </c>
    </row>
    <row r="275" spans="6:10" ht="15">
      <c r="F275" s="30">
        <v>4</v>
      </c>
      <c r="G275" s="30">
        <v>14</v>
      </c>
      <c r="H275" s="30">
        <v>350</v>
      </c>
      <c r="I275" s="30">
        <f t="shared" si="6"/>
        <v>6300</v>
      </c>
      <c r="J275" s="33">
        <f t="shared" si="7"/>
        <v>158.73015873015873</v>
      </c>
    </row>
    <row r="276" spans="6:10" ht="15">
      <c r="F276" s="30">
        <v>4</v>
      </c>
      <c r="G276" s="30">
        <v>15</v>
      </c>
      <c r="H276" s="30">
        <v>375</v>
      </c>
      <c r="I276" s="30">
        <f t="shared" si="6"/>
        <v>6750</v>
      </c>
      <c r="J276" s="33">
        <f t="shared" si="7"/>
        <v>148.14814814814815</v>
      </c>
    </row>
    <row r="277" spans="6:10" ht="15">
      <c r="F277" s="30">
        <v>4</v>
      </c>
      <c r="G277" s="30">
        <v>16</v>
      </c>
      <c r="H277" s="30">
        <v>400</v>
      </c>
      <c r="I277" s="30">
        <f t="shared" si="6"/>
        <v>7200</v>
      </c>
      <c r="J277" s="33">
        <f t="shared" si="7"/>
        <v>138.88888888888889</v>
      </c>
    </row>
    <row r="278" spans="6:10" ht="15">
      <c r="F278" s="30">
        <v>4</v>
      </c>
      <c r="G278" s="30">
        <v>17</v>
      </c>
      <c r="H278" s="30">
        <v>425</v>
      </c>
      <c r="I278" s="30">
        <f t="shared" si="6"/>
        <v>7650</v>
      </c>
      <c r="J278" s="33">
        <f t="shared" si="7"/>
        <v>130.71895424836603</v>
      </c>
    </row>
    <row r="279" spans="6:10" ht="15">
      <c r="F279" s="30">
        <v>4</v>
      </c>
      <c r="G279" s="30">
        <v>18</v>
      </c>
      <c r="H279" s="30">
        <v>450</v>
      </c>
      <c r="I279" s="30">
        <f t="shared" si="6"/>
        <v>8100</v>
      </c>
      <c r="J279" s="33">
        <f t="shared" si="7"/>
        <v>123.4567901234568</v>
      </c>
    </row>
    <row r="280" spans="6:10" ht="15">
      <c r="F280" s="30">
        <v>4</v>
      </c>
      <c r="G280" s="30">
        <v>19</v>
      </c>
      <c r="H280" s="30">
        <v>475</v>
      </c>
      <c r="I280" s="30">
        <f t="shared" si="6"/>
        <v>8550</v>
      </c>
      <c r="J280" s="33">
        <f t="shared" si="7"/>
        <v>116.95906432748538</v>
      </c>
    </row>
    <row r="281" spans="6:10" ht="15">
      <c r="F281" s="30">
        <v>4</v>
      </c>
      <c r="G281" s="30">
        <v>20</v>
      </c>
      <c r="H281" s="30">
        <v>500</v>
      </c>
      <c r="I281" s="30">
        <f t="shared" si="6"/>
        <v>9000</v>
      </c>
      <c r="J281" s="33">
        <f t="shared" si="7"/>
        <v>111.11111111111111</v>
      </c>
    </row>
    <row r="282" spans="6:10" ht="15">
      <c r="F282" s="30">
        <v>4</v>
      </c>
      <c r="G282" s="30">
        <v>21</v>
      </c>
      <c r="H282" s="30">
        <v>525</v>
      </c>
      <c r="I282" s="30">
        <f t="shared" si="6"/>
        <v>9450</v>
      </c>
      <c r="J282" s="33">
        <f t="shared" si="7"/>
        <v>105.82010582010582</v>
      </c>
    </row>
    <row r="283" spans="6:10" ht="15">
      <c r="F283" s="30">
        <v>4</v>
      </c>
      <c r="G283" s="30">
        <v>22</v>
      </c>
      <c r="H283" s="30">
        <v>550</v>
      </c>
      <c r="I283" s="30">
        <f t="shared" si="6"/>
        <v>9900</v>
      </c>
      <c r="J283" s="33">
        <f t="shared" si="7"/>
        <v>101.01010101010101</v>
      </c>
    </row>
    <row r="284" spans="6:10" ht="15">
      <c r="F284" s="30">
        <v>4</v>
      </c>
      <c r="G284" s="30">
        <v>23</v>
      </c>
      <c r="H284" s="30">
        <v>575</v>
      </c>
      <c r="I284" s="30">
        <f t="shared" si="6"/>
        <v>10350</v>
      </c>
      <c r="J284" s="33">
        <f t="shared" si="7"/>
        <v>96.618357487922708</v>
      </c>
    </row>
    <row r="285" spans="6:10" ht="15">
      <c r="F285" s="30">
        <v>4</v>
      </c>
      <c r="G285" s="30">
        <v>24</v>
      </c>
      <c r="H285" s="30">
        <v>600</v>
      </c>
      <c r="I285" s="30">
        <f t="shared" si="6"/>
        <v>10800</v>
      </c>
      <c r="J285" s="33">
        <f t="shared" si="7"/>
        <v>92.592592592592581</v>
      </c>
    </row>
    <row r="286" spans="6:10" ht="15">
      <c r="F286" s="30">
        <v>4</v>
      </c>
      <c r="G286" s="30">
        <v>25</v>
      </c>
      <c r="H286" s="30">
        <v>625</v>
      </c>
      <c r="I286" s="30">
        <f t="shared" si="6"/>
        <v>11250</v>
      </c>
      <c r="J286" s="33">
        <f t="shared" si="7"/>
        <v>88.8888888888889</v>
      </c>
    </row>
    <row r="287" spans="6:10" ht="15">
      <c r="F287" s="30">
        <v>4</v>
      </c>
      <c r="G287" s="30">
        <v>26</v>
      </c>
      <c r="H287" s="30">
        <v>650</v>
      </c>
      <c r="I287" s="30">
        <f t="shared" si="6"/>
        <v>11700</v>
      </c>
      <c r="J287" s="33">
        <f t="shared" si="7"/>
        <v>85.470085470085465</v>
      </c>
    </row>
    <row r="288" spans="6:10" ht="15">
      <c r="F288" s="30">
        <v>4</v>
      </c>
      <c r="G288" s="30">
        <v>27</v>
      </c>
      <c r="H288" s="30">
        <v>675</v>
      </c>
      <c r="I288" s="30">
        <f t="shared" si="6"/>
        <v>12150</v>
      </c>
      <c r="J288" s="33">
        <f t="shared" si="7"/>
        <v>82.304526748971199</v>
      </c>
    </row>
    <row r="289" spans="6:10" ht="15">
      <c r="F289" s="30">
        <v>4</v>
      </c>
      <c r="G289" s="30">
        <v>28</v>
      </c>
      <c r="H289" s="30">
        <v>700</v>
      </c>
      <c r="I289" s="30">
        <f t="shared" si="6"/>
        <v>12600</v>
      </c>
      <c r="J289" s="33">
        <f t="shared" si="7"/>
        <v>79.365079365079367</v>
      </c>
    </row>
    <row r="290" spans="6:10" ht="15">
      <c r="F290" s="30">
        <v>4</v>
      </c>
      <c r="G290" s="30">
        <v>29</v>
      </c>
      <c r="H290" s="30">
        <v>725</v>
      </c>
      <c r="I290" s="30">
        <f t="shared" si="6"/>
        <v>13050</v>
      </c>
      <c r="J290" s="33">
        <f t="shared" si="7"/>
        <v>76.628352490421449</v>
      </c>
    </row>
    <row r="291" spans="6:10" ht="15">
      <c r="F291" s="30">
        <v>4</v>
      </c>
      <c r="G291" s="30">
        <v>30</v>
      </c>
      <c r="H291" s="30">
        <v>750</v>
      </c>
      <c r="I291" s="30">
        <f t="shared" si="6"/>
        <v>13500</v>
      </c>
      <c r="J291" s="33">
        <f t="shared" si="7"/>
        <v>74.074074074074076</v>
      </c>
    </row>
    <row r="292" spans="6:10" ht="15">
      <c r="F292" s="30">
        <v>4</v>
      </c>
      <c r="G292" s="30">
        <v>31</v>
      </c>
      <c r="H292" s="30">
        <v>775</v>
      </c>
      <c r="I292" s="30">
        <f t="shared" si="6"/>
        <v>13950</v>
      </c>
      <c r="J292" s="33">
        <f t="shared" si="7"/>
        <v>71.68458781362007</v>
      </c>
    </row>
    <row r="293" spans="6:10" ht="15">
      <c r="F293" s="30">
        <v>4</v>
      </c>
      <c r="G293" s="30">
        <v>32</v>
      </c>
      <c r="H293" s="30">
        <v>800</v>
      </c>
      <c r="I293" s="30">
        <f t="shared" si="6"/>
        <v>14400</v>
      </c>
      <c r="J293" s="33">
        <f t="shared" si="7"/>
        <v>69.444444444444443</v>
      </c>
    </row>
    <row r="294" spans="6:10" ht="15">
      <c r="F294" s="30">
        <v>4</v>
      </c>
      <c r="G294" s="30">
        <v>33</v>
      </c>
      <c r="H294" s="30">
        <v>825</v>
      </c>
      <c r="I294" s="30">
        <f t="shared" si="6"/>
        <v>14850</v>
      </c>
      <c r="J294" s="33">
        <f t="shared" si="7"/>
        <v>67.340067340067336</v>
      </c>
    </row>
    <row r="295" spans="6:10" ht="15">
      <c r="F295" s="30">
        <v>4</v>
      </c>
      <c r="G295" s="30">
        <v>34</v>
      </c>
      <c r="H295" s="30">
        <v>850</v>
      </c>
      <c r="I295" s="30">
        <f t="shared" si="6"/>
        <v>15300</v>
      </c>
      <c r="J295" s="33">
        <f t="shared" si="7"/>
        <v>65.359477124183016</v>
      </c>
    </row>
    <row r="296" spans="6:10" ht="15">
      <c r="F296" s="30">
        <v>4</v>
      </c>
      <c r="G296" s="30">
        <v>35</v>
      </c>
      <c r="H296" s="30">
        <v>875</v>
      </c>
      <c r="I296" s="30">
        <f t="shared" si="6"/>
        <v>15750</v>
      </c>
      <c r="J296" s="33">
        <f t="shared" si="7"/>
        <v>63.492063492063487</v>
      </c>
    </row>
    <row r="297" spans="6:10" ht="15">
      <c r="F297" s="30">
        <v>4</v>
      </c>
      <c r="G297" s="30">
        <v>36</v>
      </c>
      <c r="H297" s="30">
        <v>900</v>
      </c>
      <c r="I297" s="30">
        <f t="shared" si="6"/>
        <v>16200</v>
      </c>
      <c r="J297" s="33">
        <f t="shared" si="7"/>
        <v>61.728395061728399</v>
      </c>
    </row>
    <row r="298" spans="6:10" ht="15">
      <c r="F298" s="30">
        <v>4</v>
      </c>
      <c r="G298" s="30">
        <v>37</v>
      </c>
      <c r="H298" s="30">
        <v>925</v>
      </c>
      <c r="I298" s="30">
        <f t="shared" si="6"/>
        <v>16650</v>
      </c>
      <c r="J298" s="33">
        <f t="shared" si="7"/>
        <v>60.06006006006006</v>
      </c>
    </row>
    <row r="299" spans="6:10" ht="15">
      <c r="F299" s="30">
        <v>4</v>
      </c>
      <c r="G299" s="30">
        <v>38</v>
      </c>
      <c r="H299" s="30">
        <v>950</v>
      </c>
      <c r="I299" s="30">
        <f t="shared" si="6"/>
        <v>17100</v>
      </c>
      <c r="J299" s="33">
        <f t="shared" si="7"/>
        <v>58.479532163742689</v>
      </c>
    </row>
    <row r="300" spans="6:10" ht="15">
      <c r="F300" s="30">
        <v>4</v>
      </c>
      <c r="G300" s="30">
        <v>39</v>
      </c>
      <c r="H300" s="30">
        <v>975</v>
      </c>
      <c r="I300" s="30">
        <f t="shared" si="6"/>
        <v>17550</v>
      </c>
      <c r="J300" s="33">
        <f t="shared" si="7"/>
        <v>56.980056980056979</v>
      </c>
    </row>
    <row r="301" spans="6:10" ht="15">
      <c r="F301" s="30">
        <v>4</v>
      </c>
      <c r="G301" s="30">
        <v>40</v>
      </c>
      <c r="H301" s="30">
        <v>1000</v>
      </c>
      <c r="I301" s="30">
        <f t="shared" si="6"/>
        <v>18000</v>
      </c>
      <c r="J301" s="33">
        <f t="shared" si="7"/>
        <v>55.555555555555557</v>
      </c>
    </row>
    <row r="302" spans="6:10" ht="15">
      <c r="F302" s="30">
        <v>4</v>
      </c>
      <c r="G302" s="30">
        <v>41</v>
      </c>
      <c r="H302" s="30">
        <v>1025</v>
      </c>
      <c r="I302" s="30">
        <f t="shared" si="6"/>
        <v>18450</v>
      </c>
      <c r="J302" s="33">
        <f t="shared" si="7"/>
        <v>54.200542005420054</v>
      </c>
    </row>
    <row r="303" spans="6:10" ht="15">
      <c r="F303" s="30">
        <v>4</v>
      </c>
      <c r="G303" s="30">
        <v>42</v>
      </c>
      <c r="H303" s="30">
        <v>1050</v>
      </c>
      <c r="I303" s="30">
        <f t="shared" si="6"/>
        <v>18900</v>
      </c>
      <c r="J303" s="33">
        <f t="shared" si="7"/>
        <v>52.910052910052912</v>
      </c>
    </row>
    <row r="304" spans="6:10" ht="15">
      <c r="F304" s="30">
        <v>4</v>
      </c>
      <c r="G304" s="30">
        <v>43</v>
      </c>
      <c r="H304" s="30">
        <v>1075</v>
      </c>
      <c r="I304" s="30">
        <f t="shared" si="6"/>
        <v>19350</v>
      </c>
      <c r="J304" s="33">
        <f t="shared" si="7"/>
        <v>51.679586563307495</v>
      </c>
    </row>
    <row r="305" spans="6:10" ht="15">
      <c r="F305" s="30">
        <v>4</v>
      </c>
      <c r="G305" s="30">
        <v>44</v>
      </c>
      <c r="H305" s="30">
        <v>1100</v>
      </c>
      <c r="I305" s="30">
        <f t="shared" si="6"/>
        <v>19800</v>
      </c>
      <c r="J305" s="33">
        <f t="shared" si="7"/>
        <v>50.505050505050505</v>
      </c>
    </row>
    <row r="306" spans="6:10" ht="15">
      <c r="F306" s="30">
        <v>4</v>
      </c>
      <c r="G306" s="30">
        <v>45</v>
      </c>
      <c r="H306" s="30">
        <v>1125</v>
      </c>
      <c r="I306" s="30">
        <f t="shared" si="6"/>
        <v>20250</v>
      </c>
      <c r="J306" s="33">
        <f t="shared" si="7"/>
        <v>49.382716049382715</v>
      </c>
    </row>
    <row r="307" spans="6:10" ht="15">
      <c r="F307" s="30">
        <v>4</v>
      </c>
      <c r="G307" s="30">
        <v>46</v>
      </c>
      <c r="H307" s="30">
        <v>1150</v>
      </c>
      <c r="I307" s="30">
        <f t="shared" si="6"/>
        <v>20700</v>
      </c>
      <c r="J307" s="33">
        <f t="shared" si="7"/>
        <v>48.309178743961354</v>
      </c>
    </row>
    <row r="308" spans="6:10" ht="15">
      <c r="F308" s="30">
        <v>4</v>
      </c>
      <c r="G308" s="30">
        <v>47</v>
      </c>
      <c r="H308" s="30">
        <v>1175</v>
      </c>
      <c r="I308" s="30">
        <f t="shared" si="6"/>
        <v>21150</v>
      </c>
      <c r="J308" s="33">
        <f t="shared" si="7"/>
        <v>47.281323877068559</v>
      </c>
    </row>
    <row r="309" spans="6:10" ht="15">
      <c r="F309" s="30">
        <v>4</v>
      </c>
      <c r="G309" s="30">
        <v>48</v>
      </c>
      <c r="H309" s="30">
        <v>1200</v>
      </c>
      <c r="I309" s="30">
        <f t="shared" si="6"/>
        <v>21600</v>
      </c>
      <c r="J309" s="33">
        <f t="shared" si="7"/>
        <v>46.296296296296291</v>
      </c>
    </row>
    <row r="310" spans="6:10" ht="15">
      <c r="F310" s="30">
        <v>4</v>
      </c>
      <c r="G310" s="30">
        <v>49</v>
      </c>
      <c r="H310" s="30">
        <v>1225</v>
      </c>
      <c r="I310" s="30">
        <f t="shared" si="6"/>
        <v>22050</v>
      </c>
      <c r="J310" s="33">
        <f t="shared" si="7"/>
        <v>45.351473922902493</v>
      </c>
    </row>
    <row r="311" spans="6:10" ht="15">
      <c r="F311" s="30">
        <v>4</v>
      </c>
      <c r="G311" s="30">
        <v>50</v>
      </c>
      <c r="H311" s="30">
        <v>1250</v>
      </c>
      <c r="I311" s="30">
        <f t="shared" si="6"/>
        <v>22500</v>
      </c>
      <c r="J311" s="33">
        <f t="shared" si="7"/>
        <v>44.44444444444445</v>
      </c>
    </row>
    <row r="312" spans="6:10" ht="15">
      <c r="F312" s="30">
        <v>4</v>
      </c>
      <c r="G312" s="30">
        <v>51</v>
      </c>
      <c r="H312" s="30">
        <v>1275</v>
      </c>
      <c r="I312" s="30">
        <f t="shared" si="6"/>
        <v>22950</v>
      </c>
      <c r="J312" s="33">
        <f t="shared" si="7"/>
        <v>43.572984749455337</v>
      </c>
    </row>
    <row r="313" spans="6:10" ht="15">
      <c r="F313" s="30">
        <v>4</v>
      </c>
      <c r="G313" s="30">
        <v>52</v>
      </c>
      <c r="H313" s="30">
        <v>1300</v>
      </c>
      <c r="I313" s="30">
        <f t="shared" si="6"/>
        <v>23400</v>
      </c>
      <c r="J313" s="33">
        <f t="shared" si="7"/>
        <v>42.735042735042732</v>
      </c>
    </row>
    <row r="314" spans="6:10" ht="15">
      <c r="F314" s="30">
        <v>4</v>
      </c>
      <c r="G314" s="30">
        <v>53</v>
      </c>
      <c r="H314" s="30">
        <v>1325</v>
      </c>
      <c r="I314" s="30">
        <f t="shared" si="6"/>
        <v>23850</v>
      </c>
      <c r="J314" s="33">
        <f t="shared" si="7"/>
        <v>41.928721174004188</v>
      </c>
    </row>
    <row r="315" spans="6:10" ht="15">
      <c r="F315" s="30">
        <v>4</v>
      </c>
      <c r="G315" s="30">
        <v>54</v>
      </c>
      <c r="H315" s="30">
        <v>1350</v>
      </c>
      <c r="I315" s="30">
        <f t="shared" si="6"/>
        <v>24300</v>
      </c>
      <c r="J315" s="33">
        <f t="shared" si="7"/>
        <v>41.152263374485599</v>
      </c>
    </row>
    <row r="316" spans="6:10" ht="15">
      <c r="F316" s="30">
        <v>4</v>
      </c>
      <c r="G316" s="30">
        <v>55</v>
      </c>
      <c r="H316" s="30">
        <v>1375</v>
      </c>
      <c r="I316" s="30">
        <f t="shared" si="6"/>
        <v>24750</v>
      </c>
      <c r="J316" s="33">
        <f t="shared" si="7"/>
        <v>40.404040404040408</v>
      </c>
    </row>
    <row r="317" spans="6:10" ht="15">
      <c r="F317" s="30">
        <v>4</v>
      </c>
      <c r="G317" s="30">
        <v>56</v>
      </c>
      <c r="H317" s="30">
        <v>1400</v>
      </c>
      <c r="I317" s="30">
        <f t="shared" si="6"/>
        <v>25200</v>
      </c>
      <c r="J317" s="33">
        <f t="shared" si="7"/>
        <v>39.682539682539684</v>
      </c>
    </row>
    <row r="318" spans="6:10" ht="15">
      <c r="F318" s="30">
        <v>4</v>
      </c>
      <c r="G318" s="30">
        <v>57</v>
      </c>
      <c r="H318" s="30">
        <v>1425</v>
      </c>
      <c r="I318" s="30">
        <f t="shared" si="6"/>
        <v>25650</v>
      </c>
      <c r="J318" s="33">
        <f t="shared" si="7"/>
        <v>38.98635477582846</v>
      </c>
    </row>
    <row r="319" spans="6:10" ht="15">
      <c r="F319" s="30">
        <v>4</v>
      </c>
      <c r="G319" s="30">
        <v>58</v>
      </c>
      <c r="H319" s="30">
        <v>1450</v>
      </c>
      <c r="I319" s="30">
        <f t="shared" si="6"/>
        <v>26100</v>
      </c>
      <c r="J319" s="33">
        <f t="shared" si="7"/>
        <v>38.314176245210724</v>
      </c>
    </row>
    <row r="320" spans="6:10" ht="15">
      <c r="F320" s="30">
        <v>4</v>
      </c>
      <c r="G320" s="30">
        <v>59</v>
      </c>
      <c r="H320" s="30">
        <v>1475</v>
      </c>
      <c r="I320" s="30">
        <f t="shared" si="6"/>
        <v>26550</v>
      </c>
      <c r="J320" s="33">
        <f t="shared" si="7"/>
        <v>37.664783427495294</v>
      </c>
    </row>
    <row r="321" spans="6:10" ht="15">
      <c r="F321" s="30">
        <v>4</v>
      </c>
      <c r="G321" s="30">
        <v>60</v>
      </c>
      <c r="H321" s="30">
        <v>1500</v>
      </c>
      <c r="I321" s="30">
        <f t="shared" si="6"/>
        <v>27000</v>
      </c>
      <c r="J321" s="33">
        <f t="shared" si="7"/>
        <v>37.037037037037038</v>
      </c>
    </row>
    <row r="322" spans="6:10" ht="15">
      <c r="F322" s="30">
        <v>4</v>
      </c>
      <c r="G322" s="30">
        <v>61</v>
      </c>
      <c r="H322" s="30">
        <v>1525</v>
      </c>
      <c r="I322" s="30">
        <f t="shared" si="6"/>
        <v>27450</v>
      </c>
      <c r="J322" s="33">
        <f t="shared" si="7"/>
        <v>36.429872495446268</v>
      </c>
    </row>
    <row r="323" spans="6:10" ht="15">
      <c r="F323" s="30">
        <v>4</v>
      </c>
      <c r="G323" s="30">
        <v>62</v>
      </c>
      <c r="H323" s="30">
        <v>1550</v>
      </c>
      <c r="I323" s="30">
        <f t="shared" si="6"/>
        <v>27900</v>
      </c>
      <c r="J323" s="33">
        <f t="shared" si="7"/>
        <v>35.842293906810035</v>
      </c>
    </row>
    <row r="324" spans="6:10" ht="15">
      <c r="F324" s="30">
        <v>4</v>
      </c>
      <c r="G324" s="30">
        <v>63</v>
      </c>
      <c r="H324" s="30">
        <v>1575</v>
      </c>
      <c r="I324" s="30">
        <f t="shared" si="6"/>
        <v>28350</v>
      </c>
      <c r="J324" s="33">
        <f t="shared" si="7"/>
        <v>35.273368606701936</v>
      </c>
    </row>
    <row r="325" spans="6:10" ht="15">
      <c r="F325" s="30">
        <v>4</v>
      </c>
      <c r="G325" s="30">
        <v>64</v>
      </c>
      <c r="H325" s="30">
        <v>1600</v>
      </c>
      <c r="I325" s="30">
        <f t="shared" si="6"/>
        <v>28800</v>
      </c>
      <c r="J325" s="33">
        <f t="shared" si="7"/>
        <v>34.722222222222221</v>
      </c>
    </row>
    <row r="326" spans="6:10" ht="15">
      <c r="F326" s="30">
        <v>5</v>
      </c>
      <c r="G326" s="30">
        <v>1</v>
      </c>
      <c r="H326" s="30">
        <v>25</v>
      </c>
      <c r="I326" s="30">
        <f t="shared" si="6"/>
        <v>475</v>
      </c>
      <c r="J326" s="33">
        <f t="shared" si="7"/>
        <v>2105.2631578947367</v>
      </c>
    </row>
    <row r="327" spans="6:10" ht="15">
      <c r="F327" s="30">
        <v>5</v>
      </c>
      <c r="G327" s="30">
        <v>2</v>
      </c>
      <c r="H327" s="30">
        <v>50</v>
      </c>
      <c r="I327" s="30">
        <f t="shared" ref="I327:I390" si="8">(14+F327)*H327</f>
        <v>950</v>
      </c>
      <c r="J327" s="33">
        <f t="shared" ref="J327:J390" si="9">(1/I327)*1000000</f>
        <v>1052.6315789473683</v>
      </c>
    </row>
    <row r="328" spans="6:10" ht="15">
      <c r="F328" s="30">
        <v>5</v>
      </c>
      <c r="G328" s="30">
        <v>3</v>
      </c>
      <c r="H328" s="30">
        <v>75</v>
      </c>
      <c r="I328" s="30">
        <f t="shared" si="8"/>
        <v>1425</v>
      </c>
      <c r="J328" s="33">
        <f t="shared" si="9"/>
        <v>701.75438596491222</v>
      </c>
    </row>
    <row r="329" spans="6:10" ht="15">
      <c r="F329" s="30">
        <v>5</v>
      </c>
      <c r="G329" s="30">
        <v>4</v>
      </c>
      <c r="H329" s="30">
        <v>100</v>
      </c>
      <c r="I329" s="30">
        <f t="shared" si="8"/>
        <v>1900</v>
      </c>
      <c r="J329" s="33">
        <f t="shared" si="9"/>
        <v>526.31578947368416</v>
      </c>
    </row>
    <row r="330" spans="6:10" ht="15">
      <c r="F330" s="30">
        <v>5</v>
      </c>
      <c r="G330" s="30">
        <v>5</v>
      </c>
      <c r="H330" s="30">
        <v>125</v>
      </c>
      <c r="I330" s="30">
        <f t="shared" si="8"/>
        <v>2375</v>
      </c>
      <c r="J330" s="33">
        <f t="shared" si="9"/>
        <v>421.0526315789474</v>
      </c>
    </row>
    <row r="331" spans="6:10" ht="15">
      <c r="F331" s="30">
        <v>5</v>
      </c>
      <c r="G331" s="30">
        <v>6</v>
      </c>
      <c r="H331" s="30">
        <v>150</v>
      </c>
      <c r="I331" s="30">
        <f t="shared" si="8"/>
        <v>2850</v>
      </c>
      <c r="J331" s="33">
        <f t="shared" si="9"/>
        <v>350.87719298245611</v>
      </c>
    </row>
    <row r="332" spans="6:10" ht="15">
      <c r="F332" s="30">
        <v>5</v>
      </c>
      <c r="G332" s="30">
        <v>7</v>
      </c>
      <c r="H332" s="30">
        <v>175</v>
      </c>
      <c r="I332" s="30">
        <f t="shared" si="8"/>
        <v>3325</v>
      </c>
      <c r="J332" s="33">
        <f t="shared" si="9"/>
        <v>300.75187969924809</v>
      </c>
    </row>
    <row r="333" spans="6:10" ht="15">
      <c r="F333" s="30">
        <v>5</v>
      </c>
      <c r="G333" s="30">
        <v>8</v>
      </c>
      <c r="H333" s="30">
        <v>200</v>
      </c>
      <c r="I333" s="30">
        <f t="shared" si="8"/>
        <v>3800</v>
      </c>
      <c r="J333" s="33">
        <f t="shared" si="9"/>
        <v>263.15789473684208</v>
      </c>
    </row>
    <row r="334" spans="6:10" ht="15">
      <c r="F334" s="30">
        <v>5</v>
      </c>
      <c r="G334" s="30">
        <v>9</v>
      </c>
      <c r="H334" s="30">
        <v>225</v>
      </c>
      <c r="I334" s="30">
        <f t="shared" si="8"/>
        <v>4275</v>
      </c>
      <c r="J334" s="33">
        <f t="shared" si="9"/>
        <v>233.91812865497076</v>
      </c>
    </row>
    <row r="335" spans="6:10" ht="15">
      <c r="F335" s="30">
        <v>5</v>
      </c>
      <c r="G335" s="30">
        <v>10</v>
      </c>
      <c r="H335" s="30">
        <v>250</v>
      </c>
      <c r="I335" s="30">
        <f t="shared" si="8"/>
        <v>4750</v>
      </c>
      <c r="J335" s="33">
        <f t="shared" si="9"/>
        <v>210.5263157894737</v>
      </c>
    </row>
    <row r="336" spans="6:10" ht="15">
      <c r="F336" s="30">
        <v>5</v>
      </c>
      <c r="G336" s="30">
        <v>11</v>
      </c>
      <c r="H336" s="30">
        <v>275</v>
      </c>
      <c r="I336" s="30">
        <f t="shared" si="8"/>
        <v>5225</v>
      </c>
      <c r="J336" s="33">
        <f t="shared" si="9"/>
        <v>191.38755980861245</v>
      </c>
    </row>
    <row r="337" spans="6:10" ht="15">
      <c r="F337" s="30">
        <v>5</v>
      </c>
      <c r="G337" s="30">
        <v>12</v>
      </c>
      <c r="H337" s="30">
        <v>300</v>
      </c>
      <c r="I337" s="30">
        <f t="shared" si="8"/>
        <v>5700</v>
      </c>
      <c r="J337" s="33">
        <f t="shared" si="9"/>
        <v>175.43859649122805</v>
      </c>
    </row>
    <row r="338" spans="6:10" ht="15">
      <c r="F338" s="30">
        <v>5</v>
      </c>
      <c r="G338" s="30">
        <v>13</v>
      </c>
      <c r="H338" s="30">
        <v>325</v>
      </c>
      <c r="I338" s="30">
        <f t="shared" si="8"/>
        <v>6175</v>
      </c>
      <c r="J338" s="33">
        <f t="shared" si="9"/>
        <v>161.94331983805668</v>
      </c>
    </row>
    <row r="339" spans="6:10" ht="15">
      <c r="F339" s="30">
        <v>5</v>
      </c>
      <c r="G339" s="30">
        <v>14</v>
      </c>
      <c r="H339" s="30">
        <v>350</v>
      </c>
      <c r="I339" s="30">
        <f t="shared" si="8"/>
        <v>6650</v>
      </c>
      <c r="J339" s="33">
        <f t="shared" si="9"/>
        <v>150.37593984962405</v>
      </c>
    </row>
    <row r="340" spans="6:10" ht="15">
      <c r="F340" s="30">
        <v>5</v>
      </c>
      <c r="G340" s="30">
        <v>15</v>
      </c>
      <c r="H340" s="30">
        <v>375</v>
      </c>
      <c r="I340" s="30">
        <f t="shared" si="8"/>
        <v>7125</v>
      </c>
      <c r="J340" s="33">
        <f t="shared" si="9"/>
        <v>140.35087719298244</v>
      </c>
    </row>
    <row r="341" spans="6:10" ht="15">
      <c r="F341" s="30">
        <v>5</v>
      </c>
      <c r="G341" s="30">
        <v>16</v>
      </c>
      <c r="H341" s="30">
        <v>400</v>
      </c>
      <c r="I341" s="30">
        <f t="shared" si="8"/>
        <v>7600</v>
      </c>
      <c r="J341" s="33">
        <f t="shared" si="9"/>
        <v>131.57894736842104</v>
      </c>
    </row>
    <row r="342" spans="6:10" ht="15">
      <c r="F342" s="30">
        <v>5</v>
      </c>
      <c r="G342" s="30">
        <v>17</v>
      </c>
      <c r="H342" s="30">
        <v>425</v>
      </c>
      <c r="I342" s="30">
        <f t="shared" si="8"/>
        <v>8075</v>
      </c>
      <c r="J342" s="33">
        <f t="shared" si="9"/>
        <v>123.83900928792571</v>
      </c>
    </row>
    <row r="343" spans="6:10" ht="15">
      <c r="F343" s="30">
        <v>5</v>
      </c>
      <c r="G343" s="30">
        <v>18</v>
      </c>
      <c r="H343" s="30">
        <v>450</v>
      </c>
      <c r="I343" s="30">
        <f t="shared" si="8"/>
        <v>8550</v>
      </c>
      <c r="J343" s="33">
        <f t="shared" si="9"/>
        <v>116.95906432748538</v>
      </c>
    </row>
    <row r="344" spans="6:10" ht="15">
      <c r="F344" s="30">
        <v>5</v>
      </c>
      <c r="G344" s="30">
        <v>19</v>
      </c>
      <c r="H344" s="30">
        <v>475</v>
      </c>
      <c r="I344" s="30">
        <f t="shared" si="8"/>
        <v>9025</v>
      </c>
      <c r="J344" s="33">
        <f t="shared" si="9"/>
        <v>110.80332409972299</v>
      </c>
    </row>
    <row r="345" spans="6:10" ht="15">
      <c r="F345" s="30">
        <v>5</v>
      </c>
      <c r="G345" s="30">
        <v>20</v>
      </c>
      <c r="H345" s="30">
        <v>500</v>
      </c>
      <c r="I345" s="30">
        <f t="shared" si="8"/>
        <v>9500</v>
      </c>
      <c r="J345" s="33">
        <f t="shared" si="9"/>
        <v>105.26315789473685</v>
      </c>
    </row>
    <row r="346" spans="6:10" ht="15">
      <c r="F346" s="30">
        <v>5</v>
      </c>
      <c r="G346" s="30">
        <v>21</v>
      </c>
      <c r="H346" s="30">
        <v>525</v>
      </c>
      <c r="I346" s="30">
        <f t="shared" si="8"/>
        <v>9975</v>
      </c>
      <c r="J346" s="33">
        <f t="shared" si="9"/>
        <v>100.25062656641605</v>
      </c>
    </row>
    <row r="347" spans="6:10" ht="15">
      <c r="F347" s="30">
        <v>5</v>
      </c>
      <c r="G347" s="30">
        <v>22</v>
      </c>
      <c r="H347" s="30">
        <v>550</v>
      </c>
      <c r="I347" s="30">
        <f t="shared" si="8"/>
        <v>10450</v>
      </c>
      <c r="J347" s="33">
        <f t="shared" si="9"/>
        <v>95.693779904306226</v>
      </c>
    </row>
    <row r="348" spans="6:10" ht="15">
      <c r="F348" s="30">
        <v>5</v>
      </c>
      <c r="G348" s="30">
        <v>23</v>
      </c>
      <c r="H348" s="30">
        <v>575</v>
      </c>
      <c r="I348" s="30">
        <f t="shared" si="8"/>
        <v>10925</v>
      </c>
      <c r="J348" s="33">
        <f t="shared" si="9"/>
        <v>91.533180778032033</v>
      </c>
    </row>
    <row r="349" spans="6:10" ht="15">
      <c r="F349" s="30">
        <v>5</v>
      </c>
      <c r="G349" s="30">
        <v>24</v>
      </c>
      <c r="H349" s="30">
        <v>600</v>
      </c>
      <c r="I349" s="30">
        <f t="shared" si="8"/>
        <v>11400</v>
      </c>
      <c r="J349" s="33">
        <f t="shared" si="9"/>
        <v>87.719298245614027</v>
      </c>
    </row>
    <row r="350" spans="6:10" ht="15">
      <c r="F350" s="30">
        <v>5</v>
      </c>
      <c r="G350" s="30">
        <v>25</v>
      </c>
      <c r="H350" s="30">
        <v>625</v>
      </c>
      <c r="I350" s="30">
        <f t="shared" si="8"/>
        <v>11875</v>
      </c>
      <c r="J350" s="33">
        <f t="shared" si="9"/>
        <v>84.21052631578948</v>
      </c>
    </row>
    <row r="351" spans="6:10" ht="15">
      <c r="F351" s="30">
        <v>5</v>
      </c>
      <c r="G351" s="30">
        <v>26</v>
      </c>
      <c r="H351" s="30">
        <v>650</v>
      </c>
      <c r="I351" s="30">
        <f t="shared" si="8"/>
        <v>12350</v>
      </c>
      <c r="J351" s="33">
        <f t="shared" si="9"/>
        <v>80.97165991902834</v>
      </c>
    </row>
    <row r="352" spans="6:10" ht="15">
      <c r="F352" s="30">
        <v>5</v>
      </c>
      <c r="G352" s="30">
        <v>27</v>
      </c>
      <c r="H352" s="30">
        <v>675</v>
      </c>
      <c r="I352" s="30">
        <f t="shared" si="8"/>
        <v>12825</v>
      </c>
      <c r="J352" s="33">
        <f t="shared" si="9"/>
        <v>77.972709551656919</v>
      </c>
    </row>
    <row r="353" spans="6:10" ht="15">
      <c r="F353" s="30">
        <v>5</v>
      </c>
      <c r="G353" s="30">
        <v>28</v>
      </c>
      <c r="H353" s="30">
        <v>700</v>
      </c>
      <c r="I353" s="30">
        <f t="shared" si="8"/>
        <v>13300</v>
      </c>
      <c r="J353" s="33">
        <f t="shared" si="9"/>
        <v>75.187969924812023</v>
      </c>
    </row>
    <row r="354" spans="6:10" ht="15">
      <c r="F354" s="30">
        <v>5</v>
      </c>
      <c r="G354" s="30">
        <v>29</v>
      </c>
      <c r="H354" s="30">
        <v>725</v>
      </c>
      <c r="I354" s="30">
        <f t="shared" si="8"/>
        <v>13775</v>
      </c>
      <c r="J354" s="33">
        <f t="shared" si="9"/>
        <v>72.595281306715066</v>
      </c>
    </row>
    <row r="355" spans="6:10" ht="15">
      <c r="F355" s="30">
        <v>5</v>
      </c>
      <c r="G355" s="30">
        <v>30</v>
      </c>
      <c r="H355" s="30">
        <v>750</v>
      </c>
      <c r="I355" s="30">
        <f t="shared" si="8"/>
        <v>14250</v>
      </c>
      <c r="J355" s="33">
        <f t="shared" si="9"/>
        <v>70.175438596491219</v>
      </c>
    </row>
    <row r="356" spans="6:10" ht="15">
      <c r="F356" s="30">
        <v>5</v>
      </c>
      <c r="G356" s="30">
        <v>31</v>
      </c>
      <c r="H356" s="30">
        <v>775</v>
      </c>
      <c r="I356" s="30">
        <f t="shared" si="8"/>
        <v>14725</v>
      </c>
      <c r="J356" s="33">
        <f t="shared" si="9"/>
        <v>67.911714770797957</v>
      </c>
    </row>
    <row r="357" spans="6:10" ht="15">
      <c r="F357" s="30">
        <v>5</v>
      </c>
      <c r="G357" s="30">
        <v>32</v>
      </c>
      <c r="H357" s="30">
        <v>800</v>
      </c>
      <c r="I357" s="30">
        <f t="shared" si="8"/>
        <v>15200</v>
      </c>
      <c r="J357" s="33">
        <f t="shared" si="9"/>
        <v>65.78947368421052</v>
      </c>
    </row>
    <row r="358" spans="6:10" ht="15">
      <c r="F358" s="30">
        <v>5</v>
      </c>
      <c r="G358" s="30">
        <v>33</v>
      </c>
      <c r="H358" s="30">
        <v>825</v>
      </c>
      <c r="I358" s="30">
        <f t="shared" si="8"/>
        <v>15675</v>
      </c>
      <c r="J358" s="33">
        <f t="shared" si="9"/>
        <v>63.795853269537488</v>
      </c>
    </row>
    <row r="359" spans="6:10" ht="15">
      <c r="F359" s="30">
        <v>5</v>
      </c>
      <c r="G359" s="30">
        <v>34</v>
      </c>
      <c r="H359" s="30">
        <v>850</v>
      </c>
      <c r="I359" s="30">
        <f t="shared" si="8"/>
        <v>16150</v>
      </c>
      <c r="J359" s="33">
        <f t="shared" si="9"/>
        <v>61.919504643962853</v>
      </c>
    </row>
    <row r="360" spans="6:10" ht="15">
      <c r="F360" s="30">
        <v>5</v>
      </c>
      <c r="G360" s="30">
        <v>35</v>
      </c>
      <c r="H360" s="30">
        <v>875</v>
      </c>
      <c r="I360" s="30">
        <f t="shared" si="8"/>
        <v>16625</v>
      </c>
      <c r="J360" s="33">
        <f t="shared" si="9"/>
        <v>60.150375939849624</v>
      </c>
    </row>
    <row r="361" spans="6:10" ht="15">
      <c r="F361" s="30">
        <v>5</v>
      </c>
      <c r="G361" s="30">
        <v>36</v>
      </c>
      <c r="H361" s="30">
        <v>900</v>
      </c>
      <c r="I361" s="30">
        <f t="shared" si="8"/>
        <v>17100</v>
      </c>
      <c r="J361" s="33">
        <f t="shared" si="9"/>
        <v>58.479532163742689</v>
      </c>
    </row>
    <row r="362" spans="6:10" ht="15">
      <c r="F362" s="30">
        <v>5</v>
      </c>
      <c r="G362" s="30">
        <v>37</v>
      </c>
      <c r="H362" s="30">
        <v>925</v>
      </c>
      <c r="I362" s="30">
        <f t="shared" si="8"/>
        <v>17575</v>
      </c>
      <c r="J362" s="33">
        <f t="shared" si="9"/>
        <v>56.899004267425319</v>
      </c>
    </row>
    <row r="363" spans="6:10" ht="15">
      <c r="F363" s="30">
        <v>5</v>
      </c>
      <c r="G363" s="30">
        <v>38</v>
      </c>
      <c r="H363" s="30">
        <v>950</v>
      </c>
      <c r="I363" s="30">
        <f t="shared" si="8"/>
        <v>18050</v>
      </c>
      <c r="J363" s="33">
        <f t="shared" si="9"/>
        <v>55.401662049861493</v>
      </c>
    </row>
    <row r="364" spans="6:10" ht="15">
      <c r="F364" s="30">
        <v>5</v>
      </c>
      <c r="G364" s="30">
        <v>39</v>
      </c>
      <c r="H364" s="30">
        <v>975</v>
      </c>
      <c r="I364" s="30">
        <f t="shared" si="8"/>
        <v>18525</v>
      </c>
      <c r="J364" s="33">
        <f t="shared" si="9"/>
        <v>53.981106612685565</v>
      </c>
    </row>
    <row r="365" spans="6:10" ht="15">
      <c r="F365" s="30">
        <v>5</v>
      </c>
      <c r="G365" s="30">
        <v>40</v>
      </c>
      <c r="H365" s="30">
        <v>1000</v>
      </c>
      <c r="I365" s="30">
        <f t="shared" si="8"/>
        <v>19000</v>
      </c>
      <c r="J365" s="33">
        <f t="shared" si="9"/>
        <v>52.631578947368425</v>
      </c>
    </row>
    <row r="366" spans="6:10" ht="15">
      <c r="F366" s="30">
        <v>5</v>
      </c>
      <c r="G366" s="30">
        <v>41</v>
      </c>
      <c r="H366" s="30">
        <v>1025</v>
      </c>
      <c r="I366" s="30">
        <f t="shared" si="8"/>
        <v>19475</v>
      </c>
      <c r="J366" s="33">
        <f t="shared" si="9"/>
        <v>51.347881899871631</v>
      </c>
    </row>
    <row r="367" spans="6:10" ht="15">
      <c r="F367" s="30">
        <v>5</v>
      </c>
      <c r="G367" s="30">
        <v>42</v>
      </c>
      <c r="H367" s="30">
        <v>1050</v>
      </c>
      <c r="I367" s="30">
        <f t="shared" si="8"/>
        <v>19950</v>
      </c>
      <c r="J367" s="33">
        <f t="shared" si="9"/>
        <v>50.125313283208023</v>
      </c>
    </row>
    <row r="368" spans="6:10" ht="15">
      <c r="F368" s="30">
        <v>5</v>
      </c>
      <c r="G368" s="30">
        <v>43</v>
      </c>
      <c r="H368" s="30">
        <v>1075</v>
      </c>
      <c r="I368" s="30">
        <f t="shared" si="8"/>
        <v>20425</v>
      </c>
      <c r="J368" s="33">
        <f t="shared" si="9"/>
        <v>48.959608323133416</v>
      </c>
    </row>
    <row r="369" spans="6:10" ht="15">
      <c r="F369" s="30">
        <v>5</v>
      </c>
      <c r="G369" s="30">
        <v>44</v>
      </c>
      <c r="H369" s="30">
        <v>1100</v>
      </c>
      <c r="I369" s="30">
        <f t="shared" si="8"/>
        <v>20900</v>
      </c>
      <c r="J369" s="33">
        <f t="shared" si="9"/>
        <v>47.846889952153113</v>
      </c>
    </row>
    <row r="370" spans="6:10" ht="15">
      <c r="F370" s="30">
        <v>5</v>
      </c>
      <c r="G370" s="30">
        <v>45</v>
      </c>
      <c r="H370" s="30">
        <v>1125</v>
      </c>
      <c r="I370" s="30">
        <f t="shared" si="8"/>
        <v>21375</v>
      </c>
      <c r="J370" s="33">
        <f t="shared" si="9"/>
        <v>46.783625730994153</v>
      </c>
    </row>
    <row r="371" spans="6:10" ht="15">
      <c r="F371" s="30">
        <v>5</v>
      </c>
      <c r="G371" s="30">
        <v>46</v>
      </c>
      <c r="H371" s="30">
        <v>1150</v>
      </c>
      <c r="I371" s="30">
        <f t="shared" si="8"/>
        <v>21850</v>
      </c>
      <c r="J371" s="33">
        <f t="shared" si="9"/>
        <v>45.766590389016017</v>
      </c>
    </row>
    <row r="372" spans="6:10" ht="15">
      <c r="F372" s="30">
        <v>5</v>
      </c>
      <c r="G372" s="30">
        <v>47</v>
      </c>
      <c r="H372" s="30">
        <v>1175</v>
      </c>
      <c r="I372" s="30">
        <f t="shared" si="8"/>
        <v>22325</v>
      </c>
      <c r="J372" s="33">
        <f t="shared" si="9"/>
        <v>44.79283314669653</v>
      </c>
    </row>
    <row r="373" spans="6:10" ht="15">
      <c r="F373" s="30">
        <v>5</v>
      </c>
      <c r="G373" s="30">
        <v>48</v>
      </c>
      <c r="H373" s="30">
        <v>1200</v>
      </c>
      <c r="I373" s="30">
        <f t="shared" si="8"/>
        <v>22800</v>
      </c>
      <c r="J373" s="33">
        <f t="shared" si="9"/>
        <v>43.859649122807014</v>
      </c>
    </row>
    <row r="374" spans="6:10" ht="15">
      <c r="F374" s="30">
        <v>5</v>
      </c>
      <c r="G374" s="30">
        <v>49</v>
      </c>
      <c r="H374" s="30">
        <v>1225</v>
      </c>
      <c r="I374" s="30">
        <f t="shared" si="8"/>
        <v>23275</v>
      </c>
      <c r="J374" s="33">
        <f t="shared" si="9"/>
        <v>42.964554242749728</v>
      </c>
    </row>
    <row r="375" spans="6:10" ht="15">
      <c r="F375" s="30">
        <v>5</v>
      </c>
      <c r="G375" s="30">
        <v>50</v>
      </c>
      <c r="H375" s="30">
        <v>1250</v>
      </c>
      <c r="I375" s="30">
        <f t="shared" si="8"/>
        <v>23750</v>
      </c>
      <c r="J375" s="33">
        <f t="shared" si="9"/>
        <v>42.10526315789474</v>
      </c>
    </row>
    <row r="376" spans="6:10" ht="15">
      <c r="F376" s="30">
        <v>5</v>
      </c>
      <c r="G376" s="30">
        <v>51</v>
      </c>
      <c r="H376" s="30">
        <v>1275</v>
      </c>
      <c r="I376" s="30">
        <f t="shared" si="8"/>
        <v>24225</v>
      </c>
      <c r="J376" s="33">
        <f t="shared" si="9"/>
        <v>41.279669762641902</v>
      </c>
    </row>
    <row r="377" spans="6:10" ht="15">
      <c r="F377" s="30">
        <v>5</v>
      </c>
      <c r="G377" s="30">
        <v>52</v>
      </c>
      <c r="H377" s="30">
        <v>1300</v>
      </c>
      <c r="I377" s="30">
        <f t="shared" si="8"/>
        <v>24700</v>
      </c>
      <c r="J377" s="33">
        <f t="shared" si="9"/>
        <v>40.48582995951417</v>
      </c>
    </row>
    <row r="378" spans="6:10" ht="15">
      <c r="F378" s="30">
        <v>5</v>
      </c>
      <c r="G378" s="30">
        <v>53</v>
      </c>
      <c r="H378" s="30">
        <v>1325</v>
      </c>
      <c r="I378" s="30">
        <f t="shared" si="8"/>
        <v>25175</v>
      </c>
      <c r="J378" s="33">
        <f t="shared" si="9"/>
        <v>39.72194637537239</v>
      </c>
    </row>
    <row r="379" spans="6:10" ht="15">
      <c r="F379" s="30">
        <v>5</v>
      </c>
      <c r="G379" s="30">
        <v>54</v>
      </c>
      <c r="H379" s="30">
        <v>1350</v>
      </c>
      <c r="I379" s="30">
        <f t="shared" si="8"/>
        <v>25650</v>
      </c>
      <c r="J379" s="33">
        <f t="shared" si="9"/>
        <v>38.98635477582846</v>
      </c>
    </row>
    <row r="380" spans="6:10" ht="15">
      <c r="F380" s="30">
        <v>5</v>
      </c>
      <c r="G380" s="30">
        <v>55</v>
      </c>
      <c r="H380" s="30">
        <v>1375</v>
      </c>
      <c r="I380" s="30">
        <f t="shared" si="8"/>
        <v>26125</v>
      </c>
      <c r="J380" s="33">
        <f t="shared" si="9"/>
        <v>38.277511961722489</v>
      </c>
    </row>
    <row r="381" spans="6:10" ht="15">
      <c r="F381" s="30">
        <v>5</v>
      </c>
      <c r="G381" s="30">
        <v>56</v>
      </c>
      <c r="H381" s="30">
        <v>1400</v>
      </c>
      <c r="I381" s="30">
        <f t="shared" si="8"/>
        <v>26600</v>
      </c>
      <c r="J381" s="33">
        <f t="shared" si="9"/>
        <v>37.593984962406012</v>
      </c>
    </row>
    <row r="382" spans="6:10" ht="15">
      <c r="F382" s="30">
        <v>5</v>
      </c>
      <c r="G382" s="30">
        <v>57</v>
      </c>
      <c r="H382" s="30">
        <v>1425</v>
      </c>
      <c r="I382" s="30">
        <f t="shared" si="8"/>
        <v>27075</v>
      </c>
      <c r="J382" s="33">
        <f t="shared" si="9"/>
        <v>36.934441366574333</v>
      </c>
    </row>
    <row r="383" spans="6:10" ht="15">
      <c r="F383" s="30">
        <v>5</v>
      </c>
      <c r="G383" s="30">
        <v>58</v>
      </c>
      <c r="H383" s="30">
        <v>1450</v>
      </c>
      <c r="I383" s="30">
        <f t="shared" si="8"/>
        <v>27550</v>
      </c>
      <c r="J383" s="33">
        <f t="shared" si="9"/>
        <v>36.297640653357533</v>
      </c>
    </row>
    <row r="384" spans="6:10" ht="15">
      <c r="F384" s="30">
        <v>5</v>
      </c>
      <c r="G384" s="30">
        <v>59</v>
      </c>
      <c r="H384" s="30">
        <v>1475</v>
      </c>
      <c r="I384" s="30">
        <f t="shared" si="8"/>
        <v>28025</v>
      </c>
      <c r="J384" s="33">
        <f t="shared" si="9"/>
        <v>35.682426404995546</v>
      </c>
    </row>
    <row r="385" spans="6:10" ht="15">
      <c r="F385" s="30">
        <v>5</v>
      </c>
      <c r="G385" s="30">
        <v>60</v>
      </c>
      <c r="H385" s="30">
        <v>1500</v>
      </c>
      <c r="I385" s="30">
        <f t="shared" si="8"/>
        <v>28500</v>
      </c>
      <c r="J385" s="33">
        <f t="shared" si="9"/>
        <v>35.087719298245609</v>
      </c>
    </row>
    <row r="386" spans="6:10" ht="15">
      <c r="F386" s="30">
        <v>5</v>
      </c>
      <c r="G386" s="30">
        <v>61</v>
      </c>
      <c r="H386" s="30">
        <v>1525</v>
      </c>
      <c r="I386" s="30">
        <f t="shared" si="8"/>
        <v>28975</v>
      </c>
      <c r="J386" s="33">
        <f t="shared" si="9"/>
        <v>34.51251078515962</v>
      </c>
    </row>
    <row r="387" spans="6:10" ht="15">
      <c r="F387" s="30">
        <v>5</v>
      </c>
      <c r="G387" s="30">
        <v>62</v>
      </c>
      <c r="H387" s="30">
        <v>1550</v>
      </c>
      <c r="I387" s="30">
        <f t="shared" si="8"/>
        <v>29450</v>
      </c>
      <c r="J387" s="33">
        <f t="shared" si="9"/>
        <v>33.955857385398978</v>
      </c>
    </row>
    <row r="388" spans="6:10" ht="15">
      <c r="F388" s="30">
        <v>5</v>
      </c>
      <c r="G388" s="30">
        <v>63</v>
      </c>
      <c r="H388" s="30">
        <v>1575</v>
      </c>
      <c r="I388" s="30">
        <f t="shared" si="8"/>
        <v>29925</v>
      </c>
      <c r="J388" s="33">
        <f t="shared" si="9"/>
        <v>33.416875522138682</v>
      </c>
    </row>
    <row r="389" spans="6:10" ht="15">
      <c r="F389" s="30">
        <v>5</v>
      </c>
      <c r="G389" s="30">
        <v>64</v>
      </c>
      <c r="H389" s="30">
        <v>1600</v>
      </c>
      <c r="I389" s="30">
        <f t="shared" si="8"/>
        <v>30400</v>
      </c>
      <c r="J389" s="33">
        <f t="shared" si="9"/>
        <v>32.89473684210526</v>
      </c>
    </row>
    <row r="390" spans="6:10" ht="15">
      <c r="F390" s="30">
        <v>6</v>
      </c>
      <c r="G390" s="30">
        <v>1</v>
      </c>
      <c r="H390" s="30">
        <v>25</v>
      </c>
      <c r="I390" s="30">
        <f t="shared" si="8"/>
        <v>500</v>
      </c>
      <c r="J390" s="33">
        <f t="shared" si="9"/>
        <v>2000</v>
      </c>
    </row>
    <row r="391" spans="6:10" ht="15">
      <c r="F391" s="30">
        <v>6</v>
      </c>
      <c r="G391" s="30">
        <v>2</v>
      </c>
      <c r="H391" s="30">
        <v>50</v>
      </c>
      <c r="I391" s="30">
        <f t="shared" ref="I391:I454" si="10">(14+F391)*H391</f>
        <v>1000</v>
      </c>
      <c r="J391" s="33">
        <f t="shared" ref="J391:J454" si="11">(1/I391)*1000000</f>
        <v>1000</v>
      </c>
    </row>
    <row r="392" spans="6:10" ht="15">
      <c r="F392" s="30">
        <v>6</v>
      </c>
      <c r="G392" s="30">
        <v>3</v>
      </c>
      <c r="H392" s="30">
        <v>75</v>
      </c>
      <c r="I392" s="30">
        <f t="shared" si="10"/>
        <v>1500</v>
      </c>
      <c r="J392" s="33">
        <f t="shared" si="11"/>
        <v>666.66666666666663</v>
      </c>
    </row>
    <row r="393" spans="6:10" ht="15">
      <c r="F393" s="30">
        <v>6</v>
      </c>
      <c r="G393" s="30">
        <v>4</v>
      </c>
      <c r="H393" s="30">
        <v>100</v>
      </c>
      <c r="I393" s="30">
        <f t="shared" si="10"/>
        <v>2000</v>
      </c>
      <c r="J393" s="33">
        <f t="shared" si="11"/>
        <v>500</v>
      </c>
    </row>
    <row r="394" spans="6:10" ht="15">
      <c r="F394" s="30">
        <v>6</v>
      </c>
      <c r="G394" s="30">
        <v>5</v>
      </c>
      <c r="H394" s="30">
        <v>125</v>
      </c>
      <c r="I394" s="30">
        <f t="shared" si="10"/>
        <v>2500</v>
      </c>
      <c r="J394" s="33">
        <f t="shared" si="11"/>
        <v>400</v>
      </c>
    </row>
    <row r="395" spans="6:10" ht="15">
      <c r="F395" s="30">
        <v>6</v>
      </c>
      <c r="G395" s="30">
        <v>6</v>
      </c>
      <c r="H395" s="30">
        <v>150</v>
      </c>
      <c r="I395" s="30">
        <f t="shared" si="10"/>
        <v>3000</v>
      </c>
      <c r="J395" s="33">
        <f t="shared" si="11"/>
        <v>333.33333333333331</v>
      </c>
    </row>
    <row r="396" spans="6:10" ht="15">
      <c r="F396" s="30">
        <v>6</v>
      </c>
      <c r="G396" s="30">
        <v>7</v>
      </c>
      <c r="H396" s="30">
        <v>175</v>
      </c>
      <c r="I396" s="30">
        <f t="shared" si="10"/>
        <v>3500</v>
      </c>
      <c r="J396" s="33">
        <f t="shared" si="11"/>
        <v>285.71428571428572</v>
      </c>
    </row>
    <row r="397" spans="6:10" ht="15">
      <c r="F397" s="30">
        <v>6</v>
      </c>
      <c r="G397" s="30">
        <v>8</v>
      </c>
      <c r="H397" s="30">
        <v>200</v>
      </c>
      <c r="I397" s="30">
        <f t="shared" si="10"/>
        <v>4000</v>
      </c>
      <c r="J397" s="33">
        <f t="shared" si="11"/>
        <v>250</v>
      </c>
    </row>
    <row r="398" spans="6:10" ht="15">
      <c r="F398" s="30">
        <v>6</v>
      </c>
      <c r="G398" s="30">
        <v>9</v>
      </c>
      <c r="H398" s="30">
        <v>225</v>
      </c>
      <c r="I398" s="30">
        <f t="shared" si="10"/>
        <v>4500</v>
      </c>
      <c r="J398" s="33">
        <f t="shared" si="11"/>
        <v>222.22222222222223</v>
      </c>
    </row>
    <row r="399" spans="6:10" ht="15">
      <c r="F399" s="30">
        <v>6</v>
      </c>
      <c r="G399" s="30">
        <v>10</v>
      </c>
      <c r="H399" s="30">
        <v>250</v>
      </c>
      <c r="I399" s="30">
        <f t="shared" si="10"/>
        <v>5000</v>
      </c>
      <c r="J399" s="33">
        <f t="shared" si="11"/>
        <v>200</v>
      </c>
    </row>
    <row r="400" spans="6:10" ht="15">
      <c r="F400" s="30">
        <v>6</v>
      </c>
      <c r="G400" s="30">
        <v>11</v>
      </c>
      <c r="H400" s="30">
        <v>275</v>
      </c>
      <c r="I400" s="30">
        <f t="shared" si="10"/>
        <v>5500</v>
      </c>
      <c r="J400" s="33">
        <f t="shared" si="11"/>
        <v>181.81818181818181</v>
      </c>
    </row>
    <row r="401" spans="6:10" ht="15">
      <c r="F401" s="30">
        <v>6</v>
      </c>
      <c r="G401" s="30">
        <v>12</v>
      </c>
      <c r="H401" s="30">
        <v>300</v>
      </c>
      <c r="I401" s="30">
        <f t="shared" si="10"/>
        <v>6000</v>
      </c>
      <c r="J401" s="33">
        <f t="shared" si="11"/>
        <v>166.66666666666666</v>
      </c>
    </row>
    <row r="402" spans="6:10" ht="15">
      <c r="F402" s="30">
        <v>6</v>
      </c>
      <c r="G402" s="30">
        <v>13</v>
      </c>
      <c r="H402" s="30">
        <v>325</v>
      </c>
      <c r="I402" s="30">
        <f t="shared" si="10"/>
        <v>6500</v>
      </c>
      <c r="J402" s="33">
        <f t="shared" si="11"/>
        <v>153.84615384615384</v>
      </c>
    </row>
    <row r="403" spans="6:10" ht="15">
      <c r="F403" s="30">
        <v>6</v>
      </c>
      <c r="G403" s="30">
        <v>14</v>
      </c>
      <c r="H403" s="30">
        <v>350</v>
      </c>
      <c r="I403" s="30">
        <f t="shared" si="10"/>
        <v>7000</v>
      </c>
      <c r="J403" s="33">
        <f t="shared" si="11"/>
        <v>142.85714285714286</v>
      </c>
    </row>
    <row r="404" spans="6:10" ht="15">
      <c r="F404" s="30">
        <v>6</v>
      </c>
      <c r="G404" s="30">
        <v>15</v>
      </c>
      <c r="H404" s="30">
        <v>375</v>
      </c>
      <c r="I404" s="30">
        <f t="shared" si="10"/>
        <v>7500</v>
      </c>
      <c r="J404" s="33">
        <f t="shared" si="11"/>
        <v>133.33333333333334</v>
      </c>
    </row>
    <row r="405" spans="6:10" ht="15">
      <c r="F405" s="30">
        <v>6</v>
      </c>
      <c r="G405" s="30">
        <v>16</v>
      </c>
      <c r="H405" s="30">
        <v>400</v>
      </c>
      <c r="I405" s="30">
        <f t="shared" si="10"/>
        <v>8000</v>
      </c>
      <c r="J405" s="33">
        <f t="shared" si="11"/>
        <v>125</v>
      </c>
    </row>
    <row r="406" spans="6:10" ht="15">
      <c r="F406" s="30">
        <v>6</v>
      </c>
      <c r="G406" s="30">
        <v>17</v>
      </c>
      <c r="H406" s="30">
        <v>425</v>
      </c>
      <c r="I406" s="30">
        <f t="shared" si="10"/>
        <v>8500</v>
      </c>
      <c r="J406" s="33">
        <f t="shared" si="11"/>
        <v>117.64705882352942</v>
      </c>
    </row>
    <row r="407" spans="6:10" ht="15">
      <c r="F407" s="30">
        <v>6</v>
      </c>
      <c r="G407" s="30">
        <v>18</v>
      </c>
      <c r="H407" s="30">
        <v>450</v>
      </c>
      <c r="I407" s="30">
        <f t="shared" si="10"/>
        <v>9000</v>
      </c>
      <c r="J407" s="33">
        <f t="shared" si="11"/>
        <v>111.11111111111111</v>
      </c>
    </row>
    <row r="408" spans="6:10" ht="15">
      <c r="F408" s="30">
        <v>6</v>
      </c>
      <c r="G408" s="30">
        <v>19</v>
      </c>
      <c r="H408" s="30">
        <v>475</v>
      </c>
      <c r="I408" s="30">
        <f t="shared" si="10"/>
        <v>9500</v>
      </c>
      <c r="J408" s="33">
        <f t="shared" si="11"/>
        <v>105.26315789473685</v>
      </c>
    </row>
    <row r="409" spans="6:10" ht="15">
      <c r="F409" s="30">
        <v>6</v>
      </c>
      <c r="G409" s="30">
        <v>20</v>
      </c>
      <c r="H409" s="30">
        <v>500</v>
      </c>
      <c r="I409" s="30">
        <f t="shared" si="10"/>
        <v>10000</v>
      </c>
      <c r="J409" s="33">
        <f t="shared" si="11"/>
        <v>100</v>
      </c>
    </row>
    <row r="410" spans="6:10" ht="15">
      <c r="F410" s="30">
        <v>6</v>
      </c>
      <c r="G410" s="30">
        <v>21</v>
      </c>
      <c r="H410" s="30">
        <v>525</v>
      </c>
      <c r="I410" s="30">
        <f t="shared" si="10"/>
        <v>10500</v>
      </c>
      <c r="J410" s="33">
        <f t="shared" si="11"/>
        <v>95.238095238095241</v>
      </c>
    </row>
    <row r="411" spans="6:10" ht="15">
      <c r="F411" s="30">
        <v>6</v>
      </c>
      <c r="G411" s="30">
        <v>22</v>
      </c>
      <c r="H411" s="30">
        <v>550</v>
      </c>
      <c r="I411" s="30">
        <f t="shared" si="10"/>
        <v>11000</v>
      </c>
      <c r="J411" s="33">
        <f t="shared" si="11"/>
        <v>90.909090909090907</v>
      </c>
    </row>
    <row r="412" spans="6:10" ht="15">
      <c r="F412" s="30">
        <v>6</v>
      </c>
      <c r="G412" s="30">
        <v>23</v>
      </c>
      <c r="H412" s="30">
        <v>575</v>
      </c>
      <c r="I412" s="30">
        <f t="shared" si="10"/>
        <v>11500</v>
      </c>
      <c r="J412" s="33">
        <f t="shared" si="11"/>
        <v>86.956521739130437</v>
      </c>
    </row>
    <row r="413" spans="6:10" ht="15">
      <c r="F413" s="30">
        <v>6</v>
      </c>
      <c r="G413" s="30">
        <v>24</v>
      </c>
      <c r="H413" s="30">
        <v>600</v>
      </c>
      <c r="I413" s="30">
        <f t="shared" si="10"/>
        <v>12000</v>
      </c>
      <c r="J413" s="33">
        <f t="shared" si="11"/>
        <v>83.333333333333329</v>
      </c>
    </row>
    <row r="414" spans="6:10" ht="15">
      <c r="F414" s="30">
        <v>6</v>
      </c>
      <c r="G414" s="30">
        <v>25</v>
      </c>
      <c r="H414" s="30">
        <v>625</v>
      </c>
      <c r="I414" s="30">
        <f t="shared" si="10"/>
        <v>12500</v>
      </c>
      <c r="J414" s="33">
        <f t="shared" si="11"/>
        <v>80</v>
      </c>
    </row>
    <row r="415" spans="6:10" ht="15">
      <c r="F415" s="30">
        <v>6</v>
      </c>
      <c r="G415" s="30">
        <v>26</v>
      </c>
      <c r="H415" s="30">
        <v>650</v>
      </c>
      <c r="I415" s="30">
        <f t="shared" si="10"/>
        <v>13000</v>
      </c>
      <c r="J415" s="33">
        <f t="shared" si="11"/>
        <v>76.92307692307692</v>
      </c>
    </row>
    <row r="416" spans="6:10" ht="15">
      <c r="F416" s="30">
        <v>6</v>
      </c>
      <c r="G416" s="30">
        <v>27</v>
      </c>
      <c r="H416" s="30">
        <v>675</v>
      </c>
      <c r="I416" s="30">
        <f t="shared" si="10"/>
        <v>13500</v>
      </c>
      <c r="J416" s="33">
        <f t="shared" si="11"/>
        <v>74.074074074074076</v>
      </c>
    </row>
    <row r="417" spans="6:10" ht="15">
      <c r="F417" s="30">
        <v>6</v>
      </c>
      <c r="G417" s="30">
        <v>28</v>
      </c>
      <c r="H417" s="30">
        <v>700</v>
      </c>
      <c r="I417" s="30">
        <f t="shared" si="10"/>
        <v>14000</v>
      </c>
      <c r="J417" s="33">
        <f t="shared" si="11"/>
        <v>71.428571428571431</v>
      </c>
    </row>
    <row r="418" spans="6:10" ht="15">
      <c r="F418" s="30">
        <v>6</v>
      </c>
      <c r="G418" s="30">
        <v>29</v>
      </c>
      <c r="H418" s="30">
        <v>725</v>
      </c>
      <c r="I418" s="30">
        <f t="shared" si="10"/>
        <v>14500</v>
      </c>
      <c r="J418" s="33">
        <f t="shared" si="11"/>
        <v>68.965517241379317</v>
      </c>
    </row>
    <row r="419" spans="6:10" ht="15">
      <c r="F419" s="30">
        <v>6</v>
      </c>
      <c r="G419" s="30">
        <v>30</v>
      </c>
      <c r="H419" s="30">
        <v>750</v>
      </c>
      <c r="I419" s="30">
        <f t="shared" si="10"/>
        <v>15000</v>
      </c>
      <c r="J419" s="33">
        <f t="shared" si="11"/>
        <v>66.666666666666671</v>
      </c>
    </row>
    <row r="420" spans="6:10" ht="15">
      <c r="F420" s="30">
        <v>6</v>
      </c>
      <c r="G420" s="30">
        <v>31</v>
      </c>
      <c r="H420" s="30">
        <v>775</v>
      </c>
      <c r="I420" s="30">
        <f t="shared" si="10"/>
        <v>15500</v>
      </c>
      <c r="J420" s="33">
        <f t="shared" si="11"/>
        <v>64.516129032258064</v>
      </c>
    </row>
    <row r="421" spans="6:10" ht="15">
      <c r="F421" s="30">
        <v>6</v>
      </c>
      <c r="G421" s="30">
        <v>32</v>
      </c>
      <c r="H421" s="30">
        <v>800</v>
      </c>
      <c r="I421" s="30">
        <f t="shared" si="10"/>
        <v>16000</v>
      </c>
      <c r="J421" s="33">
        <f t="shared" si="11"/>
        <v>62.5</v>
      </c>
    </row>
    <row r="422" spans="6:10" ht="15">
      <c r="F422" s="30">
        <v>6</v>
      </c>
      <c r="G422" s="30">
        <v>33</v>
      </c>
      <c r="H422" s="30">
        <v>825</v>
      </c>
      <c r="I422" s="30">
        <f t="shared" si="10"/>
        <v>16500</v>
      </c>
      <c r="J422" s="33">
        <f t="shared" si="11"/>
        <v>60.606060606060602</v>
      </c>
    </row>
    <row r="423" spans="6:10" ht="15">
      <c r="F423" s="30">
        <v>6</v>
      </c>
      <c r="G423" s="30">
        <v>34</v>
      </c>
      <c r="H423" s="30">
        <v>850</v>
      </c>
      <c r="I423" s="30">
        <f t="shared" si="10"/>
        <v>17000</v>
      </c>
      <c r="J423" s="33">
        <f t="shared" si="11"/>
        <v>58.82352941176471</v>
      </c>
    </row>
    <row r="424" spans="6:10" ht="15">
      <c r="F424" s="30">
        <v>6</v>
      </c>
      <c r="G424" s="30">
        <v>35</v>
      </c>
      <c r="H424" s="30">
        <v>875</v>
      </c>
      <c r="I424" s="30">
        <f t="shared" si="10"/>
        <v>17500</v>
      </c>
      <c r="J424" s="33">
        <f t="shared" si="11"/>
        <v>57.142857142857139</v>
      </c>
    </row>
    <row r="425" spans="6:10" ht="15">
      <c r="F425" s="30">
        <v>6</v>
      </c>
      <c r="G425" s="30">
        <v>36</v>
      </c>
      <c r="H425" s="30">
        <v>900</v>
      </c>
      <c r="I425" s="30">
        <f t="shared" si="10"/>
        <v>18000</v>
      </c>
      <c r="J425" s="33">
        <f t="shared" si="11"/>
        <v>55.555555555555557</v>
      </c>
    </row>
    <row r="426" spans="6:10" ht="15">
      <c r="F426" s="30">
        <v>6</v>
      </c>
      <c r="G426" s="30">
        <v>37</v>
      </c>
      <c r="H426" s="30">
        <v>925</v>
      </c>
      <c r="I426" s="30">
        <f t="shared" si="10"/>
        <v>18500</v>
      </c>
      <c r="J426" s="33">
        <f t="shared" si="11"/>
        <v>54.054054054054056</v>
      </c>
    </row>
    <row r="427" spans="6:10" ht="15">
      <c r="F427" s="30">
        <v>6</v>
      </c>
      <c r="G427" s="30">
        <v>38</v>
      </c>
      <c r="H427" s="30">
        <v>950</v>
      </c>
      <c r="I427" s="30">
        <f t="shared" si="10"/>
        <v>19000</v>
      </c>
      <c r="J427" s="33">
        <f t="shared" si="11"/>
        <v>52.631578947368425</v>
      </c>
    </row>
    <row r="428" spans="6:10" ht="15">
      <c r="F428" s="30">
        <v>6</v>
      </c>
      <c r="G428" s="30">
        <v>39</v>
      </c>
      <c r="H428" s="30">
        <v>975</v>
      </c>
      <c r="I428" s="30">
        <f t="shared" si="10"/>
        <v>19500</v>
      </c>
      <c r="J428" s="33">
        <f t="shared" si="11"/>
        <v>51.282051282051277</v>
      </c>
    </row>
    <row r="429" spans="6:10" ht="15">
      <c r="F429" s="30">
        <v>6</v>
      </c>
      <c r="G429" s="30">
        <v>40</v>
      </c>
      <c r="H429" s="30">
        <v>1000</v>
      </c>
      <c r="I429" s="30">
        <f t="shared" si="10"/>
        <v>20000</v>
      </c>
      <c r="J429" s="33">
        <f t="shared" si="11"/>
        <v>50</v>
      </c>
    </row>
    <row r="430" spans="6:10" ht="15">
      <c r="F430" s="30">
        <v>6</v>
      </c>
      <c r="G430" s="30">
        <v>41</v>
      </c>
      <c r="H430" s="30">
        <v>1025</v>
      </c>
      <c r="I430" s="30">
        <f t="shared" si="10"/>
        <v>20500</v>
      </c>
      <c r="J430" s="33">
        <f t="shared" si="11"/>
        <v>48.780487804878049</v>
      </c>
    </row>
    <row r="431" spans="6:10" ht="15">
      <c r="F431" s="30">
        <v>6</v>
      </c>
      <c r="G431" s="30">
        <v>42</v>
      </c>
      <c r="H431" s="30">
        <v>1050</v>
      </c>
      <c r="I431" s="30">
        <f t="shared" si="10"/>
        <v>21000</v>
      </c>
      <c r="J431" s="33">
        <f t="shared" si="11"/>
        <v>47.61904761904762</v>
      </c>
    </row>
    <row r="432" spans="6:10" ht="15">
      <c r="F432" s="30">
        <v>6</v>
      </c>
      <c r="G432" s="30">
        <v>43</v>
      </c>
      <c r="H432" s="30">
        <v>1075</v>
      </c>
      <c r="I432" s="30">
        <f t="shared" si="10"/>
        <v>21500</v>
      </c>
      <c r="J432" s="33">
        <f t="shared" si="11"/>
        <v>46.511627906976742</v>
      </c>
    </row>
    <row r="433" spans="6:10" ht="15">
      <c r="F433" s="30">
        <v>6</v>
      </c>
      <c r="G433" s="30">
        <v>44</v>
      </c>
      <c r="H433" s="30">
        <v>1100</v>
      </c>
      <c r="I433" s="30">
        <f t="shared" si="10"/>
        <v>22000</v>
      </c>
      <c r="J433" s="33">
        <f t="shared" si="11"/>
        <v>45.454545454545453</v>
      </c>
    </row>
    <row r="434" spans="6:10" ht="15">
      <c r="F434" s="30">
        <v>6</v>
      </c>
      <c r="G434" s="30">
        <v>45</v>
      </c>
      <c r="H434" s="30">
        <v>1125</v>
      </c>
      <c r="I434" s="30">
        <f t="shared" si="10"/>
        <v>22500</v>
      </c>
      <c r="J434" s="33">
        <f t="shared" si="11"/>
        <v>44.44444444444445</v>
      </c>
    </row>
    <row r="435" spans="6:10" ht="15">
      <c r="F435" s="30">
        <v>6</v>
      </c>
      <c r="G435" s="30">
        <v>46</v>
      </c>
      <c r="H435" s="30">
        <v>1150</v>
      </c>
      <c r="I435" s="30">
        <f t="shared" si="10"/>
        <v>23000</v>
      </c>
      <c r="J435" s="33">
        <f t="shared" si="11"/>
        <v>43.478260869565219</v>
      </c>
    </row>
    <row r="436" spans="6:10" ht="15">
      <c r="F436" s="30">
        <v>6</v>
      </c>
      <c r="G436" s="30">
        <v>47</v>
      </c>
      <c r="H436" s="30">
        <v>1175</v>
      </c>
      <c r="I436" s="30">
        <f t="shared" si="10"/>
        <v>23500</v>
      </c>
      <c r="J436" s="33">
        <f t="shared" si="11"/>
        <v>42.553191489361701</v>
      </c>
    </row>
    <row r="437" spans="6:10" ht="15">
      <c r="F437" s="30">
        <v>6</v>
      </c>
      <c r="G437" s="30">
        <v>48</v>
      </c>
      <c r="H437" s="30">
        <v>1200</v>
      </c>
      <c r="I437" s="30">
        <f t="shared" si="10"/>
        <v>24000</v>
      </c>
      <c r="J437" s="33">
        <f t="shared" si="11"/>
        <v>41.666666666666664</v>
      </c>
    </row>
    <row r="438" spans="6:10" ht="15">
      <c r="F438" s="30">
        <v>6</v>
      </c>
      <c r="G438" s="30">
        <v>49</v>
      </c>
      <c r="H438" s="30">
        <v>1225</v>
      </c>
      <c r="I438" s="30">
        <f t="shared" si="10"/>
        <v>24500</v>
      </c>
      <c r="J438" s="33">
        <f t="shared" si="11"/>
        <v>40.816326530612244</v>
      </c>
    </row>
    <row r="439" spans="6:10" ht="15">
      <c r="F439" s="30">
        <v>6</v>
      </c>
      <c r="G439" s="30">
        <v>50</v>
      </c>
      <c r="H439" s="30">
        <v>1250</v>
      </c>
      <c r="I439" s="30">
        <f t="shared" si="10"/>
        <v>25000</v>
      </c>
      <c r="J439" s="33">
        <f t="shared" si="11"/>
        <v>40</v>
      </c>
    </row>
    <row r="440" spans="6:10" ht="15">
      <c r="F440" s="30">
        <v>6</v>
      </c>
      <c r="G440" s="30">
        <v>51</v>
      </c>
      <c r="H440" s="30">
        <v>1275</v>
      </c>
      <c r="I440" s="30">
        <f t="shared" si="10"/>
        <v>25500</v>
      </c>
      <c r="J440" s="33">
        <f t="shared" si="11"/>
        <v>39.215686274509807</v>
      </c>
    </row>
    <row r="441" spans="6:10" ht="15">
      <c r="F441" s="30">
        <v>6</v>
      </c>
      <c r="G441" s="30">
        <v>52</v>
      </c>
      <c r="H441" s="30">
        <v>1300</v>
      </c>
      <c r="I441" s="30">
        <f t="shared" si="10"/>
        <v>26000</v>
      </c>
      <c r="J441" s="33">
        <f t="shared" si="11"/>
        <v>38.46153846153846</v>
      </c>
    </row>
    <row r="442" spans="6:10" ht="15">
      <c r="F442" s="30">
        <v>6</v>
      </c>
      <c r="G442" s="30">
        <v>53</v>
      </c>
      <c r="H442" s="30">
        <v>1325</v>
      </c>
      <c r="I442" s="30">
        <f t="shared" si="10"/>
        <v>26500</v>
      </c>
      <c r="J442" s="33">
        <f t="shared" si="11"/>
        <v>37.735849056603776</v>
      </c>
    </row>
    <row r="443" spans="6:10" ht="15">
      <c r="F443" s="30">
        <v>6</v>
      </c>
      <c r="G443" s="30">
        <v>54</v>
      </c>
      <c r="H443" s="30">
        <v>1350</v>
      </c>
      <c r="I443" s="30">
        <f t="shared" si="10"/>
        <v>27000</v>
      </c>
      <c r="J443" s="33">
        <f t="shared" si="11"/>
        <v>37.037037037037038</v>
      </c>
    </row>
    <row r="444" spans="6:10" ht="15">
      <c r="F444" s="30">
        <v>6</v>
      </c>
      <c r="G444" s="30">
        <v>55</v>
      </c>
      <c r="H444" s="30">
        <v>1375</v>
      </c>
      <c r="I444" s="30">
        <f t="shared" si="10"/>
        <v>27500</v>
      </c>
      <c r="J444" s="33">
        <f t="shared" si="11"/>
        <v>36.363636363636367</v>
      </c>
    </row>
    <row r="445" spans="6:10" ht="15">
      <c r="F445" s="30">
        <v>6</v>
      </c>
      <c r="G445" s="30">
        <v>56</v>
      </c>
      <c r="H445" s="30">
        <v>1400</v>
      </c>
      <c r="I445" s="30">
        <f t="shared" si="10"/>
        <v>28000</v>
      </c>
      <c r="J445" s="33">
        <f t="shared" si="11"/>
        <v>35.714285714285715</v>
      </c>
    </row>
    <row r="446" spans="6:10" ht="15">
      <c r="F446" s="30">
        <v>6</v>
      </c>
      <c r="G446" s="30">
        <v>57</v>
      </c>
      <c r="H446" s="30">
        <v>1425</v>
      </c>
      <c r="I446" s="30">
        <f t="shared" si="10"/>
        <v>28500</v>
      </c>
      <c r="J446" s="33">
        <f t="shared" si="11"/>
        <v>35.087719298245609</v>
      </c>
    </row>
    <row r="447" spans="6:10" ht="15">
      <c r="F447" s="30">
        <v>6</v>
      </c>
      <c r="G447" s="30">
        <v>58</v>
      </c>
      <c r="H447" s="30">
        <v>1450</v>
      </c>
      <c r="I447" s="30">
        <f t="shared" si="10"/>
        <v>29000</v>
      </c>
      <c r="J447" s="33">
        <f t="shared" si="11"/>
        <v>34.482758620689658</v>
      </c>
    </row>
    <row r="448" spans="6:10" ht="15">
      <c r="F448" s="30">
        <v>6</v>
      </c>
      <c r="G448" s="30">
        <v>59</v>
      </c>
      <c r="H448" s="30">
        <v>1475</v>
      </c>
      <c r="I448" s="30">
        <f t="shared" si="10"/>
        <v>29500</v>
      </c>
      <c r="J448" s="33">
        <f t="shared" si="11"/>
        <v>33.898305084745765</v>
      </c>
    </row>
    <row r="449" spans="6:10" ht="15">
      <c r="F449" s="30">
        <v>6</v>
      </c>
      <c r="G449" s="30">
        <v>60</v>
      </c>
      <c r="H449" s="30">
        <v>1500</v>
      </c>
      <c r="I449" s="30">
        <f t="shared" si="10"/>
        <v>30000</v>
      </c>
      <c r="J449" s="33">
        <f t="shared" si="11"/>
        <v>33.333333333333336</v>
      </c>
    </row>
    <row r="450" spans="6:10" ht="15">
      <c r="F450" s="30">
        <v>6</v>
      </c>
      <c r="G450" s="30">
        <v>61</v>
      </c>
      <c r="H450" s="30">
        <v>1525</v>
      </c>
      <c r="I450" s="30">
        <f t="shared" si="10"/>
        <v>30500</v>
      </c>
      <c r="J450" s="33">
        <f t="shared" si="11"/>
        <v>32.786885245901644</v>
      </c>
    </row>
    <row r="451" spans="6:10" ht="15">
      <c r="F451" s="30">
        <v>6</v>
      </c>
      <c r="G451" s="30">
        <v>62</v>
      </c>
      <c r="H451" s="30">
        <v>1550</v>
      </c>
      <c r="I451" s="30">
        <f t="shared" si="10"/>
        <v>31000</v>
      </c>
      <c r="J451" s="33">
        <f t="shared" si="11"/>
        <v>32.258064516129032</v>
      </c>
    </row>
    <row r="452" spans="6:10" ht="15">
      <c r="F452" s="30">
        <v>6</v>
      </c>
      <c r="G452" s="30">
        <v>63</v>
      </c>
      <c r="H452" s="30">
        <v>1575</v>
      </c>
      <c r="I452" s="30">
        <f t="shared" si="10"/>
        <v>31500</v>
      </c>
      <c r="J452" s="33">
        <f t="shared" si="11"/>
        <v>31.746031746031743</v>
      </c>
    </row>
    <row r="453" spans="6:10" ht="15">
      <c r="F453" s="30">
        <v>6</v>
      </c>
      <c r="G453" s="30">
        <v>64</v>
      </c>
      <c r="H453" s="30">
        <v>1600</v>
      </c>
      <c r="I453" s="30">
        <f t="shared" si="10"/>
        <v>32000</v>
      </c>
      <c r="J453" s="34">
        <f t="shared" si="11"/>
        <v>31.25</v>
      </c>
    </row>
    <row r="454" spans="6:10" ht="15">
      <c r="F454" s="30">
        <v>7</v>
      </c>
      <c r="G454" s="30">
        <v>1</v>
      </c>
      <c r="H454" s="30">
        <v>25</v>
      </c>
      <c r="I454" s="30">
        <f t="shared" si="10"/>
        <v>525</v>
      </c>
      <c r="J454" s="33">
        <f t="shared" si="11"/>
        <v>1904.7619047619048</v>
      </c>
    </row>
    <row r="455" spans="6:10" ht="15">
      <c r="F455" s="30">
        <v>7</v>
      </c>
      <c r="G455" s="30">
        <v>2</v>
      </c>
      <c r="H455" s="30">
        <v>50</v>
      </c>
      <c r="I455" s="30">
        <f t="shared" ref="I455:I518" si="12">(14+F455)*H455</f>
        <v>1050</v>
      </c>
      <c r="J455" s="33">
        <f t="shared" ref="J455:J518" si="13">(1/I455)*1000000</f>
        <v>952.38095238095241</v>
      </c>
    </row>
    <row r="456" spans="6:10" ht="15">
      <c r="F456" s="30">
        <v>7</v>
      </c>
      <c r="G456" s="30">
        <v>3</v>
      </c>
      <c r="H456" s="30">
        <v>75</v>
      </c>
      <c r="I456" s="30">
        <f t="shared" si="12"/>
        <v>1575</v>
      </c>
      <c r="J456" s="33">
        <f t="shared" si="13"/>
        <v>634.92063492063494</v>
      </c>
    </row>
    <row r="457" spans="6:10" ht="15">
      <c r="F457" s="30">
        <v>7</v>
      </c>
      <c r="G457" s="30">
        <v>4</v>
      </c>
      <c r="H457" s="30">
        <v>100</v>
      </c>
      <c r="I457" s="30">
        <f t="shared" si="12"/>
        <v>2100</v>
      </c>
      <c r="J457" s="33">
        <f t="shared" si="13"/>
        <v>476.1904761904762</v>
      </c>
    </row>
    <row r="458" spans="6:10" ht="15">
      <c r="F458" s="30">
        <v>7</v>
      </c>
      <c r="G458" s="30">
        <v>5</v>
      </c>
      <c r="H458" s="30">
        <v>125</v>
      </c>
      <c r="I458" s="30">
        <f t="shared" si="12"/>
        <v>2625</v>
      </c>
      <c r="J458" s="33">
        <f t="shared" si="13"/>
        <v>380.95238095238096</v>
      </c>
    </row>
    <row r="459" spans="6:10" ht="15">
      <c r="F459" s="30">
        <v>7</v>
      </c>
      <c r="G459" s="30">
        <v>6</v>
      </c>
      <c r="H459" s="30">
        <v>150</v>
      </c>
      <c r="I459" s="30">
        <f t="shared" si="12"/>
        <v>3150</v>
      </c>
      <c r="J459" s="33">
        <f t="shared" si="13"/>
        <v>317.46031746031747</v>
      </c>
    </row>
    <row r="460" spans="6:10" ht="15">
      <c r="F460" s="30">
        <v>7</v>
      </c>
      <c r="G460" s="30">
        <v>7</v>
      </c>
      <c r="H460" s="30">
        <v>175</v>
      </c>
      <c r="I460" s="30">
        <f t="shared" si="12"/>
        <v>3675</v>
      </c>
      <c r="J460" s="33">
        <f t="shared" si="13"/>
        <v>272.10884353741494</v>
      </c>
    </row>
    <row r="461" spans="6:10" ht="15">
      <c r="F461" s="30">
        <v>7</v>
      </c>
      <c r="G461" s="30">
        <v>8</v>
      </c>
      <c r="H461" s="30">
        <v>200</v>
      </c>
      <c r="I461" s="30">
        <f t="shared" si="12"/>
        <v>4200</v>
      </c>
      <c r="J461" s="33">
        <f t="shared" si="13"/>
        <v>238.0952380952381</v>
      </c>
    </row>
    <row r="462" spans="6:10" ht="15">
      <c r="F462" s="30">
        <v>7</v>
      </c>
      <c r="G462" s="30">
        <v>9</v>
      </c>
      <c r="H462" s="30">
        <v>225</v>
      </c>
      <c r="I462" s="30">
        <f t="shared" si="12"/>
        <v>4725</v>
      </c>
      <c r="J462" s="33">
        <f t="shared" si="13"/>
        <v>211.64021164021165</v>
      </c>
    </row>
    <row r="463" spans="6:10" ht="15">
      <c r="F463" s="30">
        <v>7</v>
      </c>
      <c r="G463" s="30">
        <v>10</v>
      </c>
      <c r="H463" s="30">
        <v>250</v>
      </c>
      <c r="I463" s="30">
        <f t="shared" si="12"/>
        <v>5250</v>
      </c>
      <c r="J463" s="33">
        <f t="shared" si="13"/>
        <v>190.47619047619048</v>
      </c>
    </row>
    <row r="464" spans="6:10" ht="15">
      <c r="F464" s="30">
        <v>7</v>
      </c>
      <c r="G464" s="30">
        <v>11</v>
      </c>
      <c r="H464" s="30">
        <v>275</v>
      </c>
      <c r="I464" s="30">
        <f t="shared" si="12"/>
        <v>5775</v>
      </c>
      <c r="J464" s="33">
        <f t="shared" si="13"/>
        <v>173.16017316017317</v>
      </c>
    </row>
    <row r="465" spans="6:10" ht="15">
      <c r="F465" s="30">
        <v>7</v>
      </c>
      <c r="G465" s="30">
        <v>12</v>
      </c>
      <c r="H465" s="30">
        <v>300</v>
      </c>
      <c r="I465" s="30">
        <f t="shared" si="12"/>
        <v>6300</v>
      </c>
      <c r="J465" s="33">
        <f t="shared" si="13"/>
        <v>158.73015873015873</v>
      </c>
    </row>
    <row r="466" spans="6:10" ht="15">
      <c r="F466" s="30">
        <v>7</v>
      </c>
      <c r="G466" s="30">
        <v>13</v>
      </c>
      <c r="H466" s="30">
        <v>325</v>
      </c>
      <c r="I466" s="30">
        <f t="shared" si="12"/>
        <v>6825</v>
      </c>
      <c r="J466" s="33">
        <f t="shared" si="13"/>
        <v>146.52014652014651</v>
      </c>
    </row>
    <row r="467" spans="6:10" ht="15">
      <c r="F467" s="30">
        <v>7</v>
      </c>
      <c r="G467" s="30">
        <v>14</v>
      </c>
      <c r="H467" s="30">
        <v>350</v>
      </c>
      <c r="I467" s="30">
        <f t="shared" si="12"/>
        <v>7350</v>
      </c>
      <c r="J467" s="33">
        <f t="shared" si="13"/>
        <v>136.05442176870747</v>
      </c>
    </row>
    <row r="468" spans="6:10" ht="15">
      <c r="F468" s="30">
        <v>7</v>
      </c>
      <c r="G468" s="30">
        <v>15</v>
      </c>
      <c r="H468" s="30">
        <v>375</v>
      </c>
      <c r="I468" s="30">
        <f t="shared" si="12"/>
        <v>7875</v>
      </c>
      <c r="J468" s="33">
        <f t="shared" si="13"/>
        <v>126.98412698412697</v>
      </c>
    </row>
    <row r="469" spans="6:10" ht="15">
      <c r="F469" s="30">
        <v>7</v>
      </c>
      <c r="G469" s="30">
        <v>16</v>
      </c>
      <c r="H469" s="30">
        <v>400</v>
      </c>
      <c r="I469" s="30">
        <f t="shared" si="12"/>
        <v>8400</v>
      </c>
      <c r="J469" s="33">
        <f t="shared" si="13"/>
        <v>119.04761904761905</v>
      </c>
    </row>
    <row r="470" spans="6:10" ht="15">
      <c r="F470" s="30">
        <v>7</v>
      </c>
      <c r="G470" s="30">
        <v>17</v>
      </c>
      <c r="H470" s="30">
        <v>425</v>
      </c>
      <c r="I470" s="30">
        <f t="shared" si="12"/>
        <v>8925</v>
      </c>
      <c r="J470" s="33">
        <f t="shared" si="13"/>
        <v>112.04481792717087</v>
      </c>
    </row>
    <row r="471" spans="6:10" ht="15">
      <c r="F471" s="30">
        <v>7</v>
      </c>
      <c r="G471" s="30">
        <v>18</v>
      </c>
      <c r="H471" s="30">
        <v>450</v>
      </c>
      <c r="I471" s="30">
        <f t="shared" si="12"/>
        <v>9450</v>
      </c>
      <c r="J471" s="33">
        <f t="shared" si="13"/>
        <v>105.82010582010582</v>
      </c>
    </row>
    <row r="472" spans="6:10" ht="15">
      <c r="F472" s="30">
        <v>7</v>
      </c>
      <c r="G472" s="30">
        <v>19</v>
      </c>
      <c r="H472" s="30">
        <v>475</v>
      </c>
      <c r="I472" s="30">
        <f t="shared" si="12"/>
        <v>9975</v>
      </c>
      <c r="J472" s="33">
        <f t="shared" si="13"/>
        <v>100.25062656641605</v>
      </c>
    </row>
    <row r="473" spans="6:10" ht="15">
      <c r="F473" s="30">
        <v>7</v>
      </c>
      <c r="G473" s="30">
        <v>20</v>
      </c>
      <c r="H473" s="30">
        <v>500</v>
      </c>
      <c r="I473" s="30">
        <f t="shared" si="12"/>
        <v>10500</v>
      </c>
      <c r="J473" s="33">
        <f t="shared" si="13"/>
        <v>95.238095238095241</v>
      </c>
    </row>
    <row r="474" spans="6:10" ht="15">
      <c r="F474" s="30">
        <v>7</v>
      </c>
      <c r="G474" s="30">
        <v>21</v>
      </c>
      <c r="H474" s="30">
        <v>525</v>
      </c>
      <c r="I474" s="30">
        <f t="shared" si="12"/>
        <v>11025</v>
      </c>
      <c r="J474" s="33">
        <f t="shared" si="13"/>
        <v>90.702947845804985</v>
      </c>
    </row>
    <row r="475" spans="6:10" ht="15">
      <c r="F475" s="30">
        <v>7</v>
      </c>
      <c r="G475" s="30">
        <v>22</v>
      </c>
      <c r="H475" s="30">
        <v>550</v>
      </c>
      <c r="I475" s="30">
        <f t="shared" si="12"/>
        <v>11550</v>
      </c>
      <c r="J475" s="33">
        <f t="shared" si="13"/>
        <v>86.580086580086586</v>
      </c>
    </row>
    <row r="476" spans="6:10" ht="15">
      <c r="F476" s="30">
        <v>7</v>
      </c>
      <c r="G476" s="30">
        <v>23</v>
      </c>
      <c r="H476" s="30">
        <v>575</v>
      </c>
      <c r="I476" s="30">
        <f t="shared" si="12"/>
        <v>12075</v>
      </c>
      <c r="J476" s="33">
        <f t="shared" si="13"/>
        <v>82.815734989648021</v>
      </c>
    </row>
    <row r="477" spans="6:10" ht="15">
      <c r="F477" s="30">
        <v>7</v>
      </c>
      <c r="G477" s="30">
        <v>24</v>
      </c>
      <c r="H477" s="30">
        <v>600</v>
      </c>
      <c r="I477" s="30">
        <f t="shared" si="12"/>
        <v>12600</v>
      </c>
      <c r="J477" s="33">
        <f t="shared" si="13"/>
        <v>79.365079365079367</v>
      </c>
    </row>
    <row r="478" spans="6:10" ht="15">
      <c r="F478" s="30">
        <v>7</v>
      </c>
      <c r="G478" s="30">
        <v>25</v>
      </c>
      <c r="H478" s="30">
        <v>625</v>
      </c>
      <c r="I478" s="30">
        <f t="shared" si="12"/>
        <v>13125</v>
      </c>
      <c r="J478" s="33">
        <f t="shared" si="13"/>
        <v>76.19047619047619</v>
      </c>
    </row>
    <row r="479" spans="6:10" ht="15">
      <c r="F479" s="30">
        <v>7</v>
      </c>
      <c r="G479" s="30">
        <v>26</v>
      </c>
      <c r="H479" s="30">
        <v>650</v>
      </c>
      <c r="I479" s="30">
        <f t="shared" si="12"/>
        <v>13650</v>
      </c>
      <c r="J479" s="33">
        <f t="shared" si="13"/>
        <v>73.260073260073256</v>
      </c>
    </row>
    <row r="480" spans="6:10" ht="15">
      <c r="F480" s="30">
        <v>7</v>
      </c>
      <c r="G480" s="30">
        <v>27</v>
      </c>
      <c r="H480" s="30">
        <v>675</v>
      </c>
      <c r="I480" s="30">
        <f t="shared" si="12"/>
        <v>14175</v>
      </c>
      <c r="J480" s="33">
        <f t="shared" si="13"/>
        <v>70.546737213403873</v>
      </c>
    </row>
    <row r="481" spans="6:10" ht="15">
      <c r="F481" s="30">
        <v>7</v>
      </c>
      <c r="G481" s="30">
        <v>28</v>
      </c>
      <c r="H481" s="30">
        <v>700</v>
      </c>
      <c r="I481" s="30">
        <f t="shared" si="12"/>
        <v>14700</v>
      </c>
      <c r="J481" s="33">
        <f t="shared" si="13"/>
        <v>68.027210884353735</v>
      </c>
    </row>
    <row r="482" spans="6:10" ht="15">
      <c r="F482" s="30">
        <v>7</v>
      </c>
      <c r="G482" s="30">
        <v>29</v>
      </c>
      <c r="H482" s="30">
        <v>725</v>
      </c>
      <c r="I482" s="30">
        <f t="shared" si="12"/>
        <v>15225</v>
      </c>
      <c r="J482" s="33">
        <f t="shared" si="13"/>
        <v>65.681444991789817</v>
      </c>
    </row>
    <row r="483" spans="6:10" ht="15">
      <c r="F483" s="30">
        <v>7</v>
      </c>
      <c r="G483" s="30">
        <v>30</v>
      </c>
      <c r="H483" s="30">
        <v>750</v>
      </c>
      <c r="I483" s="30">
        <f t="shared" si="12"/>
        <v>15750</v>
      </c>
      <c r="J483" s="33">
        <f t="shared" si="13"/>
        <v>63.492063492063487</v>
      </c>
    </row>
    <row r="484" spans="6:10" ht="15">
      <c r="F484" s="30">
        <v>7</v>
      </c>
      <c r="G484" s="30">
        <v>31</v>
      </c>
      <c r="H484" s="30">
        <v>775</v>
      </c>
      <c r="I484" s="30">
        <f t="shared" si="12"/>
        <v>16275</v>
      </c>
      <c r="J484" s="33">
        <f t="shared" si="13"/>
        <v>61.443932411674346</v>
      </c>
    </row>
    <row r="485" spans="6:10" ht="15">
      <c r="F485" s="30">
        <v>7</v>
      </c>
      <c r="G485" s="30">
        <v>32</v>
      </c>
      <c r="H485" s="30">
        <v>800</v>
      </c>
      <c r="I485" s="30">
        <f t="shared" si="12"/>
        <v>16800</v>
      </c>
      <c r="J485" s="33">
        <f t="shared" si="13"/>
        <v>59.523809523809526</v>
      </c>
    </row>
    <row r="486" spans="6:10" ht="15">
      <c r="F486" s="30">
        <v>7</v>
      </c>
      <c r="G486" s="30">
        <v>33</v>
      </c>
      <c r="H486" s="30">
        <v>825</v>
      </c>
      <c r="I486" s="30">
        <f t="shared" si="12"/>
        <v>17325</v>
      </c>
      <c r="J486" s="33">
        <f t="shared" si="13"/>
        <v>57.720057720057717</v>
      </c>
    </row>
    <row r="487" spans="6:10" ht="15">
      <c r="F487" s="30">
        <v>7</v>
      </c>
      <c r="G487" s="30">
        <v>34</v>
      </c>
      <c r="H487" s="30">
        <v>850</v>
      </c>
      <c r="I487" s="30">
        <f t="shared" si="12"/>
        <v>17850</v>
      </c>
      <c r="J487" s="33">
        <f t="shared" si="13"/>
        <v>56.022408963585434</v>
      </c>
    </row>
    <row r="488" spans="6:10" ht="15">
      <c r="F488" s="30">
        <v>7</v>
      </c>
      <c r="G488" s="30">
        <v>35</v>
      </c>
      <c r="H488" s="30">
        <v>875</v>
      </c>
      <c r="I488" s="30">
        <f t="shared" si="12"/>
        <v>18375</v>
      </c>
      <c r="J488" s="33">
        <f t="shared" si="13"/>
        <v>54.421768707482997</v>
      </c>
    </row>
    <row r="489" spans="6:10" ht="15">
      <c r="F489" s="30">
        <v>7</v>
      </c>
      <c r="G489" s="30">
        <v>36</v>
      </c>
      <c r="H489" s="30">
        <v>900</v>
      </c>
      <c r="I489" s="30">
        <f t="shared" si="12"/>
        <v>18900</v>
      </c>
      <c r="J489" s="33">
        <f t="shared" si="13"/>
        <v>52.910052910052912</v>
      </c>
    </row>
    <row r="490" spans="6:10" ht="15">
      <c r="F490" s="30">
        <v>7</v>
      </c>
      <c r="G490" s="30">
        <v>37</v>
      </c>
      <c r="H490" s="30">
        <v>925</v>
      </c>
      <c r="I490" s="30">
        <f t="shared" si="12"/>
        <v>19425</v>
      </c>
      <c r="J490" s="33">
        <f t="shared" si="13"/>
        <v>51.480051480051479</v>
      </c>
    </row>
    <row r="491" spans="6:10" ht="15">
      <c r="F491" s="30">
        <v>7</v>
      </c>
      <c r="G491" s="30">
        <v>38</v>
      </c>
      <c r="H491" s="30">
        <v>950</v>
      </c>
      <c r="I491" s="30">
        <f t="shared" si="12"/>
        <v>19950</v>
      </c>
      <c r="J491" s="33">
        <f t="shared" si="13"/>
        <v>50.125313283208023</v>
      </c>
    </row>
    <row r="492" spans="6:10" ht="15">
      <c r="F492" s="30">
        <v>7</v>
      </c>
      <c r="G492" s="30">
        <v>39</v>
      </c>
      <c r="H492" s="30">
        <v>975</v>
      </c>
      <c r="I492" s="30">
        <f t="shared" si="12"/>
        <v>20475</v>
      </c>
      <c r="J492" s="33">
        <f t="shared" si="13"/>
        <v>48.840048840048837</v>
      </c>
    </row>
    <row r="493" spans="6:10" ht="15">
      <c r="F493" s="30">
        <v>7</v>
      </c>
      <c r="G493" s="30">
        <v>40</v>
      </c>
      <c r="H493" s="30">
        <v>1000</v>
      </c>
      <c r="I493" s="30">
        <f t="shared" si="12"/>
        <v>21000</v>
      </c>
      <c r="J493" s="33">
        <f t="shared" si="13"/>
        <v>47.61904761904762</v>
      </c>
    </row>
    <row r="494" spans="6:10" ht="15">
      <c r="F494" s="30">
        <v>7</v>
      </c>
      <c r="G494" s="30">
        <v>41</v>
      </c>
      <c r="H494" s="30">
        <v>1025</v>
      </c>
      <c r="I494" s="30">
        <f t="shared" si="12"/>
        <v>21525</v>
      </c>
      <c r="J494" s="33">
        <f t="shared" si="13"/>
        <v>46.457607433217191</v>
      </c>
    </row>
    <row r="495" spans="6:10" ht="15">
      <c r="F495" s="30">
        <v>7</v>
      </c>
      <c r="G495" s="30">
        <v>42</v>
      </c>
      <c r="H495" s="30">
        <v>1050</v>
      </c>
      <c r="I495" s="30">
        <f t="shared" si="12"/>
        <v>22050</v>
      </c>
      <c r="J495" s="33">
        <f t="shared" si="13"/>
        <v>45.351473922902493</v>
      </c>
    </row>
    <row r="496" spans="6:10" ht="15">
      <c r="F496" s="30">
        <v>7</v>
      </c>
      <c r="G496" s="30">
        <v>43</v>
      </c>
      <c r="H496" s="30">
        <v>1075</v>
      </c>
      <c r="I496" s="30">
        <f t="shared" si="12"/>
        <v>22575</v>
      </c>
      <c r="J496" s="33">
        <f t="shared" si="13"/>
        <v>44.296788482834998</v>
      </c>
    </row>
    <row r="497" spans="6:10" ht="15">
      <c r="F497" s="30">
        <v>7</v>
      </c>
      <c r="G497" s="30">
        <v>44</v>
      </c>
      <c r="H497" s="30">
        <v>1100</v>
      </c>
      <c r="I497" s="30">
        <f t="shared" si="12"/>
        <v>23100</v>
      </c>
      <c r="J497" s="33">
        <f t="shared" si="13"/>
        <v>43.290043290043293</v>
      </c>
    </row>
    <row r="498" spans="6:10" ht="15">
      <c r="F498" s="30">
        <v>7</v>
      </c>
      <c r="G498" s="30">
        <v>45</v>
      </c>
      <c r="H498" s="30">
        <v>1125</v>
      </c>
      <c r="I498" s="30">
        <f t="shared" si="12"/>
        <v>23625</v>
      </c>
      <c r="J498" s="33">
        <f t="shared" si="13"/>
        <v>42.328042328042329</v>
      </c>
    </row>
    <row r="499" spans="6:10" ht="15">
      <c r="F499" s="30">
        <v>7</v>
      </c>
      <c r="G499" s="30">
        <v>46</v>
      </c>
      <c r="H499" s="30">
        <v>1150</v>
      </c>
      <c r="I499" s="30">
        <f t="shared" si="12"/>
        <v>24150</v>
      </c>
      <c r="J499" s="33">
        <f t="shared" si="13"/>
        <v>41.407867494824011</v>
      </c>
    </row>
    <row r="500" spans="6:10" ht="15">
      <c r="F500" s="30">
        <v>7</v>
      </c>
      <c r="G500" s="30">
        <v>47</v>
      </c>
      <c r="H500" s="30">
        <v>1175</v>
      </c>
      <c r="I500" s="30">
        <f t="shared" si="12"/>
        <v>24675</v>
      </c>
      <c r="J500" s="33">
        <f t="shared" si="13"/>
        <v>40.526849037487331</v>
      </c>
    </row>
    <row r="501" spans="6:10" ht="15">
      <c r="F501" s="30">
        <v>7</v>
      </c>
      <c r="G501" s="30">
        <v>48</v>
      </c>
      <c r="H501" s="30">
        <v>1200</v>
      </c>
      <c r="I501" s="30">
        <f t="shared" si="12"/>
        <v>25200</v>
      </c>
      <c r="J501" s="33">
        <f t="shared" si="13"/>
        <v>39.682539682539684</v>
      </c>
    </row>
    <row r="502" spans="6:10" ht="15">
      <c r="F502" s="30">
        <v>7</v>
      </c>
      <c r="G502" s="30">
        <v>49</v>
      </c>
      <c r="H502" s="30">
        <v>1225</v>
      </c>
      <c r="I502" s="30">
        <f t="shared" si="12"/>
        <v>25725</v>
      </c>
      <c r="J502" s="33">
        <f t="shared" si="13"/>
        <v>38.872691933916421</v>
      </c>
    </row>
    <row r="503" spans="6:10" ht="15">
      <c r="F503" s="30">
        <v>7</v>
      </c>
      <c r="G503" s="30">
        <v>50</v>
      </c>
      <c r="H503" s="30">
        <v>1250</v>
      </c>
      <c r="I503" s="30">
        <f t="shared" si="12"/>
        <v>26250</v>
      </c>
      <c r="J503" s="33">
        <f t="shared" si="13"/>
        <v>38.095238095238095</v>
      </c>
    </row>
    <row r="504" spans="6:10" ht="15">
      <c r="F504" s="30">
        <v>7</v>
      </c>
      <c r="G504" s="30">
        <v>51</v>
      </c>
      <c r="H504" s="30">
        <v>1275</v>
      </c>
      <c r="I504" s="30">
        <f t="shared" si="12"/>
        <v>26775</v>
      </c>
      <c r="J504" s="33">
        <f t="shared" si="13"/>
        <v>37.348272642390292</v>
      </c>
    </row>
    <row r="505" spans="6:10" ht="15">
      <c r="F505" s="30">
        <v>7</v>
      </c>
      <c r="G505" s="30">
        <v>52</v>
      </c>
      <c r="H505" s="30">
        <v>1300</v>
      </c>
      <c r="I505" s="30">
        <f t="shared" si="12"/>
        <v>27300</v>
      </c>
      <c r="J505" s="33">
        <f t="shared" si="13"/>
        <v>36.630036630036628</v>
      </c>
    </row>
    <row r="506" spans="6:10" ht="15">
      <c r="F506" s="30">
        <v>7</v>
      </c>
      <c r="G506" s="30">
        <v>53</v>
      </c>
      <c r="H506" s="30">
        <v>1325</v>
      </c>
      <c r="I506" s="30">
        <f t="shared" si="12"/>
        <v>27825</v>
      </c>
      <c r="J506" s="33">
        <f t="shared" si="13"/>
        <v>35.938903863432166</v>
      </c>
    </row>
    <row r="507" spans="6:10" ht="15">
      <c r="F507" s="30">
        <v>7</v>
      </c>
      <c r="G507" s="30">
        <v>54</v>
      </c>
      <c r="H507" s="30">
        <v>1350</v>
      </c>
      <c r="I507" s="30">
        <f t="shared" si="12"/>
        <v>28350</v>
      </c>
      <c r="J507" s="33">
        <f t="shared" si="13"/>
        <v>35.273368606701936</v>
      </c>
    </row>
    <row r="508" spans="6:10" ht="15">
      <c r="F508" s="30">
        <v>7</v>
      </c>
      <c r="G508" s="30">
        <v>55</v>
      </c>
      <c r="H508" s="30">
        <v>1375</v>
      </c>
      <c r="I508" s="30">
        <f t="shared" si="12"/>
        <v>28875</v>
      </c>
      <c r="J508" s="33">
        <f t="shared" si="13"/>
        <v>34.632034632034632</v>
      </c>
    </row>
    <row r="509" spans="6:10" ht="15">
      <c r="F509" s="30">
        <v>7</v>
      </c>
      <c r="G509" s="30">
        <v>56</v>
      </c>
      <c r="H509" s="30">
        <v>1400</v>
      </c>
      <c r="I509" s="30">
        <f t="shared" si="12"/>
        <v>29400</v>
      </c>
      <c r="J509" s="33">
        <f t="shared" si="13"/>
        <v>34.013605442176868</v>
      </c>
    </row>
    <row r="510" spans="6:10" ht="15">
      <c r="F510" s="30">
        <v>7</v>
      </c>
      <c r="G510" s="30">
        <v>57</v>
      </c>
      <c r="H510" s="30">
        <v>1425</v>
      </c>
      <c r="I510" s="30">
        <f t="shared" si="12"/>
        <v>29925</v>
      </c>
      <c r="J510" s="33">
        <f t="shared" si="13"/>
        <v>33.416875522138682</v>
      </c>
    </row>
    <row r="511" spans="6:10" ht="15">
      <c r="F511" s="30">
        <v>7</v>
      </c>
      <c r="G511" s="30">
        <v>58</v>
      </c>
      <c r="H511" s="30">
        <v>1450</v>
      </c>
      <c r="I511" s="30">
        <f t="shared" si="12"/>
        <v>30450</v>
      </c>
      <c r="J511" s="33">
        <f t="shared" si="13"/>
        <v>32.840722495894909</v>
      </c>
    </row>
    <row r="512" spans="6:10" ht="15">
      <c r="F512" s="30">
        <v>7</v>
      </c>
      <c r="G512" s="30">
        <v>59</v>
      </c>
      <c r="H512" s="30">
        <v>1475</v>
      </c>
      <c r="I512" s="30">
        <f t="shared" si="12"/>
        <v>30975</v>
      </c>
      <c r="J512" s="33">
        <f t="shared" si="13"/>
        <v>32.284100080710253</v>
      </c>
    </row>
    <row r="513" spans="6:10" ht="15">
      <c r="F513" s="30">
        <v>7</v>
      </c>
      <c r="G513" s="30">
        <v>60</v>
      </c>
      <c r="H513" s="30">
        <v>1500</v>
      </c>
      <c r="I513" s="30">
        <f t="shared" si="12"/>
        <v>31500</v>
      </c>
      <c r="J513" s="33">
        <f t="shared" si="13"/>
        <v>31.746031746031743</v>
      </c>
    </row>
    <row r="514" spans="6:10" ht="15">
      <c r="F514" s="30">
        <v>7</v>
      </c>
      <c r="G514" s="30">
        <v>61</v>
      </c>
      <c r="H514" s="30">
        <v>1525</v>
      </c>
      <c r="I514" s="30">
        <f t="shared" si="12"/>
        <v>32025</v>
      </c>
      <c r="J514" s="33">
        <f t="shared" si="13"/>
        <v>31.225604996096799</v>
      </c>
    </row>
    <row r="515" spans="6:10" ht="15">
      <c r="F515" s="30">
        <v>7</v>
      </c>
      <c r="G515" s="30">
        <v>62</v>
      </c>
      <c r="H515" s="30">
        <v>1550</v>
      </c>
      <c r="I515" s="30">
        <f t="shared" si="12"/>
        <v>32550</v>
      </c>
      <c r="J515" s="33">
        <f t="shared" si="13"/>
        <v>30.721966205837173</v>
      </c>
    </row>
    <row r="516" spans="6:10" ht="15">
      <c r="F516" s="30">
        <v>7</v>
      </c>
      <c r="G516" s="30">
        <v>63</v>
      </c>
      <c r="H516" s="30">
        <v>1575</v>
      </c>
      <c r="I516" s="30">
        <f t="shared" si="12"/>
        <v>33075</v>
      </c>
      <c r="J516" s="33">
        <f t="shared" si="13"/>
        <v>30.234315948601662</v>
      </c>
    </row>
    <row r="517" spans="6:10" ht="15">
      <c r="F517" s="30">
        <v>7</v>
      </c>
      <c r="G517" s="30">
        <v>64</v>
      </c>
      <c r="H517" s="30">
        <v>1600</v>
      </c>
      <c r="I517" s="30">
        <f t="shared" si="12"/>
        <v>33600</v>
      </c>
      <c r="J517" s="33">
        <f t="shared" si="13"/>
        <v>29.761904761904763</v>
      </c>
    </row>
    <row r="518" spans="6:10" ht="15">
      <c r="F518" s="30">
        <v>8</v>
      </c>
      <c r="G518" s="30">
        <v>1</v>
      </c>
      <c r="H518" s="30">
        <v>25</v>
      </c>
      <c r="I518" s="30">
        <f t="shared" si="12"/>
        <v>550</v>
      </c>
      <c r="J518" s="33">
        <f t="shared" si="13"/>
        <v>1818.1818181818182</v>
      </c>
    </row>
    <row r="519" spans="6:10" ht="15">
      <c r="F519" s="30">
        <v>8</v>
      </c>
      <c r="G519" s="30">
        <v>2</v>
      </c>
      <c r="H519" s="30">
        <v>50</v>
      </c>
      <c r="I519" s="30">
        <f t="shared" ref="I519:I582" si="14">(14+F519)*H519</f>
        <v>1100</v>
      </c>
      <c r="J519" s="33">
        <f t="shared" ref="J519:J582" si="15">(1/I519)*1000000</f>
        <v>909.09090909090912</v>
      </c>
    </row>
    <row r="520" spans="6:10" ht="15">
      <c r="F520" s="30">
        <v>8</v>
      </c>
      <c r="G520" s="30">
        <v>3</v>
      </c>
      <c r="H520" s="30">
        <v>75</v>
      </c>
      <c r="I520" s="30">
        <f t="shared" si="14"/>
        <v>1650</v>
      </c>
      <c r="J520" s="33">
        <f t="shared" si="15"/>
        <v>606.06060606060601</v>
      </c>
    </row>
    <row r="521" spans="6:10" ht="15">
      <c r="F521" s="30">
        <v>8</v>
      </c>
      <c r="G521" s="30">
        <v>4</v>
      </c>
      <c r="H521" s="30">
        <v>100</v>
      </c>
      <c r="I521" s="30">
        <f t="shared" si="14"/>
        <v>2200</v>
      </c>
      <c r="J521" s="33">
        <f t="shared" si="15"/>
        <v>454.54545454545456</v>
      </c>
    </row>
    <row r="522" spans="6:10" ht="15">
      <c r="F522" s="30">
        <v>8</v>
      </c>
      <c r="G522" s="30">
        <v>5</v>
      </c>
      <c r="H522" s="30">
        <v>125</v>
      </c>
      <c r="I522" s="30">
        <f t="shared" si="14"/>
        <v>2750</v>
      </c>
      <c r="J522" s="33">
        <f t="shared" si="15"/>
        <v>363.63636363636363</v>
      </c>
    </row>
    <row r="523" spans="6:10" ht="15">
      <c r="F523" s="30">
        <v>8</v>
      </c>
      <c r="G523" s="30">
        <v>6</v>
      </c>
      <c r="H523" s="30">
        <v>150</v>
      </c>
      <c r="I523" s="30">
        <f t="shared" si="14"/>
        <v>3300</v>
      </c>
      <c r="J523" s="33">
        <f t="shared" si="15"/>
        <v>303.030303030303</v>
      </c>
    </row>
    <row r="524" spans="6:10" ht="15">
      <c r="F524" s="30">
        <v>8</v>
      </c>
      <c r="G524" s="30">
        <v>7</v>
      </c>
      <c r="H524" s="30">
        <v>175</v>
      </c>
      <c r="I524" s="30">
        <f t="shared" si="14"/>
        <v>3850</v>
      </c>
      <c r="J524" s="33">
        <f t="shared" si="15"/>
        <v>259.74025974025972</v>
      </c>
    </row>
    <row r="525" spans="6:10" ht="15">
      <c r="F525" s="30">
        <v>8</v>
      </c>
      <c r="G525" s="30">
        <v>8</v>
      </c>
      <c r="H525" s="30">
        <v>200</v>
      </c>
      <c r="I525" s="30">
        <f t="shared" si="14"/>
        <v>4400</v>
      </c>
      <c r="J525" s="33">
        <f t="shared" si="15"/>
        <v>227.27272727272728</v>
      </c>
    </row>
    <row r="526" spans="6:10" ht="15">
      <c r="F526" s="30">
        <v>8</v>
      </c>
      <c r="G526" s="30">
        <v>9</v>
      </c>
      <c r="H526" s="30">
        <v>225</v>
      </c>
      <c r="I526" s="30">
        <f t="shared" si="14"/>
        <v>4950</v>
      </c>
      <c r="J526" s="33">
        <f t="shared" si="15"/>
        <v>202.02020202020202</v>
      </c>
    </row>
    <row r="527" spans="6:10" ht="15">
      <c r="F527" s="30">
        <v>8</v>
      </c>
      <c r="G527" s="30">
        <v>10</v>
      </c>
      <c r="H527" s="30">
        <v>250</v>
      </c>
      <c r="I527" s="30">
        <f t="shared" si="14"/>
        <v>5500</v>
      </c>
      <c r="J527" s="33">
        <f t="shared" si="15"/>
        <v>181.81818181818181</v>
      </c>
    </row>
    <row r="528" spans="6:10" ht="15">
      <c r="F528" s="30">
        <v>8</v>
      </c>
      <c r="G528" s="30">
        <v>11</v>
      </c>
      <c r="H528" s="30">
        <v>275</v>
      </c>
      <c r="I528" s="30">
        <f t="shared" si="14"/>
        <v>6050</v>
      </c>
      <c r="J528" s="33">
        <f t="shared" si="15"/>
        <v>165.28925619834712</v>
      </c>
    </row>
    <row r="529" spans="6:10" ht="15">
      <c r="F529" s="30">
        <v>8</v>
      </c>
      <c r="G529" s="30">
        <v>12</v>
      </c>
      <c r="H529" s="30">
        <v>300</v>
      </c>
      <c r="I529" s="30">
        <f t="shared" si="14"/>
        <v>6600</v>
      </c>
      <c r="J529" s="33">
        <f t="shared" si="15"/>
        <v>151.5151515151515</v>
      </c>
    </row>
    <row r="530" spans="6:10" ht="15">
      <c r="F530" s="30">
        <v>8</v>
      </c>
      <c r="G530" s="30">
        <v>13</v>
      </c>
      <c r="H530" s="30">
        <v>325</v>
      </c>
      <c r="I530" s="30">
        <f t="shared" si="14"/>
        <v>7150</v>
      </c>
      <c r="J530" s="33">
        <f t="shared" si="15"/>
        <v>139.86013986013987</v>
      </c>
    </row>
    <row r="531" spans="6:10" ht="15">
      <c r="F531" s="30">
        <v>8</v>
      </c>
      <c r="G531" s="30">
        <v>14</v>
      </c>
      <c r="H531" s="30">
        <v>350</v>
      </c>
      <c r="I531" s="30">
        <f t="shared" si="14"/>
        <v>7700</v>
      </c>
      <c r="J531" s="33">
        <f t="shared" si="15"/>
        <v>129.87012987012986</v>
      </c>
    </row>
    <row r="532" spans="6:10" ht="15">
      <c r="F532" s="30">
        <v>8</v>
      </c>
      <c r="G532" s="30">
        <v>15</v>
      </c>
      <c r="H532" s="30">
        <v>375</v>
      </c>
      <c r="I532" s="30">
        <f t="shared" si="14"/>
        <v>8250</v>
      </c>
      <c r="J532" s="33">
        <f t="shared" si="15"/>
        <v>121.2121212121212</v>
      </c>
    </row>
    <row r="533" spans="6:10" ht="15">
      <c r="F533" s="30">
        <v>8</v>
      </c>
      <c r="G533" s="30">
        <v>16</v>
      </c>
      <c r="H533" s="30">
        <v>400</v>
      </c>
      <c r="I533" s="30">
        <f t="shared" si="14"/>
        <v>8800</v>
      </c>
      <c r="J533" s="33">
        <f t="shared" si="15"/>
        <v>113.63636363636364</v>
      </c>
    </row>
    <row r="534" spans="6:10" ht="15">
      <c r="F534" s="30">
        <v>8</v>
      </c>
      <c r="G534" s="30">
        <v>17</v>
      </c>
      <c r="H534" s="30">
        <v>425</v>
      </c>
      <c r="I534" s="30">
        <f t="shared" si="14"/>
        <v>9350</v>
      </c>
      <c r="J534" s="33">
        <f t="shared" si="15"/>
        <v>106.95187165775401</v>
      </c>
    </row>
    <row r="535" spans="6:10" ht="15">
      <c r="F535" s="30">
        <v>8</v>
      </c>
      <c r="G535" s="30">
        <v>18</v>
      </c>
      <c r="H535" s="30">
        <v>450</v>
      </c>
      <c r="I535" s="30">
        <f t="shared" si="14"/>
        <v>9900</v>
      </c>
      <c r="J535" s="33">
        <f t="shared" si="15"/>
        <v>101.01010101010101</v>
      </c>
    </row>
    <row r="536" spans="6:10" ht="15">
      <c r="F536" s="30">
        <v>8</v>
      </c>
      <c r="G536" s="30">
        <v>19</v>
      </c>
      <c r="H536" s="30">
        <v>475</v>
      </c>
      <c r="I536" s="30">
        <f t="shared" si="14"/>
        <v>10450</v>
      </c>
      <c r="J536" s="33">
        <f t="shared" si="15"/>
        <v>95.693779904306226</v>
      </c>
    </row>
    <row r="537" spans="6:10" ht="15">
      <c r="F537" s="30">
        <v>8</v>
      </c>
      <c r="G537" s="30">
        <v>20</v>
      </c>
      <c r="H537" s="30">
        <v>500</v>
      </c>
      <c r="I537" s="30">
        <f t="shared" si="14"/>
        <v>11000</v>
      </c>
      <c r="J537" s="33">
        <f t="shared" si="15"/>
        <v>90.909090909090907</v>
      </c>
    </row>
    <row r="538" spans="6:10" ht="15">
      <c r="F538" s="30">
        <v>8</v>
      </c>
      <c r="G538" s="30">
        <v>21</v>
      </c>
      <c r="H538" s="30">
        <v>525</v>
      </c>
      <c r="I538" s="30">
        <f t="shared" si="14"/>
        <v>11550</v>
      </c>
      <c r="J538" s="33">
        <f t="shared" si="15"/>
        <v>86.580086580086586</v>
      </c>
    </row>
    <row r="539" spans="6:10" ht="15">
      <c r="F539" s="30">
        <v>8</v>
      </c>
      <c r="G539" s="30">
        <v>22</v>
      </c>
      <c r="H539" s="30">
        <v>550</v>
      </c>
      <c r="I539" s="30">
        <f t="shared" si="14"/>
        <v>12100</v>
      </c>
      <c r="J539" s="33">
        <f t="shared" si="15"/>
        <v>82.644628099173559</v>
      </c>
    </row>
    <row r="540" spans="6:10" ht="15">
      <c r="F540" s="30">
        <v>8</v>
      </c>
      <c r="G540" s="30">
        <v>23</v>
      </c>
      <c r="H540" s="30">
        <v>575</v>
      </c>
      <c r="I540" s="30">
        <f t="shared" si="14"/>
        <v>12650</v>
      </c>
      <c r="J540" s="33">
        <f t="shared" si="15"/>
        <v>79.051383399209485</v>
      </c>
    </row>
    <row r="541" spans="6:10" ht="15">
      <c r="F541" s="30">
        <v>8</v>
      </c>
      <c r="G541" s="30">
        <v>24</v>
      </c>
      <c r="H541" s="30">
        <v>600</v>
      </c>
      <c r="I541" s="30">
        <f t="shared" si="14"/>
        <v>13200</v>
      </c>
      <c r="J541" s="33">
        <f t="shared" si="15"/>
        <v>75.757575757575751</v>
      </c>
    </row>
    <row r="542" spans="6:10" ht="15">
      <c r="F542" s="30">
        <v>8</v>
      </c>
      <c r="G542" s="30">
        <v>25</v>
      </c>
      <c r="H542" s="30">
        <v>625</v>
      </c>
      <c r="I542" s="30">
        <f t="shared" si="14"/>
        <v>13750</v>
      </c>
      <c r="J542" s="33">
        <f t="shared" si="15"/>
        <v>72.727272727272734</v>
      </c>
    </row>
    <row r="543" spans="6:10" ht="15">
      <c r="F543" s="30">
        <v>8</v>
      </c>
      <c r="G543" s="30">
        <v>26</v>
      </c>
      <c r="H543" s="30">
        <v>650</v>
      </c>
      <c r="I543" s="30">
        <f t="shared" si="14"/>
        <v>14300</v>
      </c>
      <c r="J543" s="33">
        <f t="shared" si="15"/>
        <v>69.930069930069934</v>
      </c>
    </row>
    <row r="544" spans="6:10" ht="15">
      <c r="F544" s="30">
        <v>8</v>
      </c>
      <c r="G544" s="30">
        <v>27</v>
      </c>
      <c r="H544" s="30">
        <v>675</v>
      </c>
      <c r="I544" s="30">
        <f t="shared" si="14"/>
        <v>14850</v>
      </c>
      <c r="J544" s="33">
        <f t="shared" si="15"/>
        <v>67.340067340067336</v>
      </c>
    </row>
    <row r="545" spans="6:10" ht="15">
      <c r="F545" s="30">
        <v>8</v>
      </c>
      <c r="G545" s="30">
        <v>28</v>
      </c>
      <c r="H545" s="30">
        <v>700</v>
      </c>
      <c r="I545" s="30">
        <f t="shared" si="14"/>
        <v>15400</v>
      </c>
      <c r="J545" s="33">
        <f t="shared" si="15"/>
        <v>64.935064935064929</v>
      </c>
    </row>
    <row r="546" spans="6:10" ht="15">
      <c r="F546" s="30">
        <v>8</v>
      </c>
      <c r="G546" s="30">
        <v>29</v>
      </c>
      <c r="H546" s="30">
        <v>725</v>
      </c>
      <c r="I546" s="30">
        <f t="shared" si="14"/>
        <v>15950</v>
      </c>
      <c r="J546" s="33">
        <f t="shared" si="15"/>
        <v>62.695924764890286</v>
      </c>
    </row>
    <row r="547" spans="6:10" ht="15">
      <c r="F547" s="30">
        <v>8</v>
      </c>
      <c r="G547" s="30">
        <v>30</v>
      </c>
      <c r="H547" s="30">
        <v>750</v>
      </c>
      <c r="I547" s="30">
        <f t="shared" si="14"/>
        <v>16500</v>
      </c>
      <c r="J547" s="33">
        <f t="shared" si="15"/>
        <v>60.606060606060602</v>
      </c>
    </row>
    <row r="548" spans="6:10" ht="15">
      <c r="F548" s="30">
        <v>8</v>
      </c>
      <c r="G548" s="30">
        <v>31</v>
      </c>
      <c r="H548" s="30">
        <v>775</v>
      </c>
      <c r="I548" s="30">
        <f t="shared" si="14"/>
        <v>17050</v>
      </c>
      <c r="J548" s="33">
        <f t="shared" si="15"/>
        <v>58.651026392961874</v>
      </c>
    </row>
    <row r="549" spans="6:10" ht="15">
      <c r="F549" s="30">
        <v>8</v>
      </c>
      <c r="G549" s="30">
        <v>32</v>
      </c>
      <c r="H549" s="30">
        <v>800</v>
      </c>
      <c r="I549" s="30">
        <f t="shared" si="14"/>
        <v>17600</v>
      </c>
      <c r="J549" s="33">
        <f t="shared" si="15"/>
        <v>56.81818181818182</v>
      </c>
    </row>
    <row r="550" spans="6:10" ht="15">
      <c r="F550" s="30">
        <v>8</v>
      </c>
      <c r="G550" s="30">
        <v>33</v>
      </c>
      <c r="H550" s="30">
        <v>825</v>
      </c>
      <c r="I550" s="30">
        <f t="shared" si="14"/>
        <v>18150</v>
      </c>
      <c r="J550" s="33">
        <f t="shared" si="15"/>
        <v>55.096418732782368</v>
      </c>
    </row>
    <row r="551" spans="6:10" ht="15">
      <c r="F551" s="30">
        <v>8</v>
      </c>
      <c r="G551" s="30">
        <v>34</v>
      </c>
      <c r="H551" s="30">
        <v>850</v>
      </c>
      <c r="I551" s="30">
        <f t="shared" si="14"/>
        <v>18700</v>
      </c>
      <c r="J551" s="33">
        <f t="shared" si="15"/>
        <v>53.475935828877006</v>
      </c>
    </row>
    <row r="552" spans="6:10" ht="15">
      <c r="F552" s="30">
        <v>8</v>
      </c>
      <c r="G552" s="30">
        <v>35</v>
      </c>
      <c r="H552" s="30">
        <v>875</v>
      </c>
      <c r="I552" s="30">
        <f t="shared" si="14"/>
        <v>19250</v>
      </c>
      <c r="J552" s="33">
        <f t="shared" si="15"/>
        <v>51.948051948051948</v>
      </c>
    </row>
    <row r="553" spans="6:10" ht="15">
      <c r="F553" s="30">
        <v>8</v>
      </c>
      <c r="G553" s="30">
        <v>36</v>
      </c>
      <c r="H553" s="30">
        <v>900</v>
      </c>
      <c r="I553" s="30">
        <f t="shared" si="14"/>
        <v>19800</v>
      </c>
      <c r="J553" s="33">
        <f t="shared" si="15"/>
        <v>50.505050505050505</v>
      </c>
    </row>
    <row r="554" spans="6:10" ht="15">
      <c r="F554" s="30">
        <v>8</v>
      </c>
      <c r="G554" s="30">
        <v>37</v>
      </c>
      <c r="H554" s="30">
        <v>925</v>
      </c>
      <c r="I554" s="30">
        <f t="shared" si="14"/>
        <v>20350</v>
      </c>
      <c r="J554" s="33">
        <f t="shared" si="15"/>
        <v>49.140049140049143</v>
      </c>
    </row>
    <row r="555" spans="6:10" ht="15">
      <c r="F555" s="30">
        <v>8</v>
      </c>
      <c r="G555" s="30">
        <v>38</v>
      </c>
      <c r="H555" s="30">
        <v>950</v>
      </c>
      <c r="I555" s="30">
        <f t="shared" si="14"/>
        <v>20900</v>
      </c>
      <c r="J555" s="33">
        <f t="shared" si="15"/>
        <v>47.846889952153113</v>
      </c>
    </row>
    <row r="556" spans="6:10" ht="15">
      <c r="F556" s="30">
        <v>8</v>
      </c>
      <c r="G556" s="30">
        <v>39</v>
      </c>
      <c r="H556" s="30">
        <v>975</v>
      </c>
      <c r="I556" s="30">
        <f t="shared" si="14"/>
        <v>21450</v>
      </c>
      <c r="J556" s="33">
        <f t="shared" si="15"/>
        <v>46.620046620046622</v>
      </c>
    </row>
    <row r="557" spans="6:10" ht="15">
      <c r="F557" s="30">
        <v>8</v>
      </c>
      <c r="G557" s="30">
        <v>40</v>
      </c>
      <c r="H557" s="30">
        <v>1000</v>
      </c>
      <c r="I557" s="30">
        <f t="shared" si="14"/>
        <v>22000</v>
      </c>
      <c r="J557" s="33">
        <f t="shared" si="15"/>
        <v>45.454545454545453</v>
      </c>
    </row>
    <row r="558" spans="6:10" ht="15">
      <c r="F558" s="30">
        <v>8</v>
      </c>
      <c r="G558" s="30">
        <v>41</v>
      </c>
      <c r="H558" s="30">
        <v>1025</v>
      </c>
      <c r="I558" s="30">
        <f t="shared" si="14"/>
        <v>22550</v>
      </c>
      <c r="J558" s="33">
        <f t="shared" si="15"/>
        <v>44.345898004434588</v>
      </c>
    </row>
    <row r="559" spans="6:10" ht="15">
      <c r="F559" s="30">
        <v>8</v>
      </c>
      <c r="G559" s="30">
        <v>42</v>
      </c>
      <c r="H559" s="30">
        <v>1050</v>
      </c>
      <c r="I559" s="30">
        <f t="shared" si="14"/>
        <v>23100</v>
      </c>
      <c r="J559" s="33">
        <f t="shared" si="15"/>
        <v>43.290043290043293</v>
      </c>
    </row>
    <row r="560" spans="6:10" ht="15">
      <c r="F560" s="30">
        <v>8</v>
      </c>
      <c r="G560" s="30">
        <v>43</v>
      </c>
      <c r="H560" s="30">
        <v>1075</v>
      </c>
      <c r="I560" s="30">
        <f t="shared" si="14"/>
        <v>23650</v>
      </c>
      <c r="J560" s="33">
        <f t="shared" si="15"/>
        <v>42.283298097251581</v>
      </c>
    </row>
    <row r="561" spans="6:10" ht="15">
      <c r="F561" s="30">
        <v>8</v>
      </c>
      <c r="G561" s="30">
        <v>44</v>
      </c>
      <c r="H561" s="30">
        <v>1100</v>
      </c>
      <c r="I561" s="30">
        <f t="shared" si="14"/>
        <v>24200</v>
      </c>
      <c r="J561" s="33">
        <f t="shared" si="15"/>
        <v>41.32231404958678</v>
      </c>
    </row>
    <row r="562" spans="6:10" ht="15">
      <c r="F562" s="30">
        <v>8</v>
      </c>
      <c r="G562" s="30">
        <v>45</v>
      </c>
      <c r="H562" s="30">
        <v>1125</v>
      </c>
      <c r="I562" s="30">
        <f t="shared" si="14"/>
        <v>24750</v>
      </c>
      <c r="J562" s="33">
        <f t="shared" si="15"/>
        <v>40.404040404040408</v>
      </c>
    </row>
    <row r="563" spans="6:10" ht="15">
      <c r="F563" s="30">
        <v>8</v>
      </c>
      <c r="G563" s="30">
        <v>46</v>
      </c>
      <c r="H563" s="30">
        <v>1150</v>
      </c>
      <c r="I563" s="30">
        <f t="shared" si="14"/>
        <v>25300</v>
      </c>
      <c r="J563" s="33">
        <f t="shared" si="15"/>
        <v>39.525691699604742</v>
      </c>
    </row>
    <row r="564" spans="6:10" ht="15">
      <c r="F564" s="30">
        <v>8</v>
      </c>
      <c r="G564" s="30">
        <v>47</v>
      </c>
      <c r="H564" s="30">
        <v>1175</v>
      </c>
      <c r="I564" s="30">
        <f t="shared" si="14"/>
        <v>25850</v>
      </c>
      <c r="J564" s="33">
        <f t="shared" si="15"/>
        <v>38.684719535783366</v>
      </c>
    </row>
    <row r="565" spans="6:10" ht="15">
      <c r="F565" s="30">
        <v>8</v>
      </c>
      <c r="G565" s="30">
        <v>48</v>
      </c>
      <c r="H565" s="30">
        <v>1200</v>
      </c>
      <c r="I565" s="30">
        <f t="shared" si="14"/>
        <v>26400</v>
      </c>
      <c r="J565" s="33">
        <f t="shared" si="15"/>
        <v>37.878787878787875</v>
      </c>
    </row>
    <row r="566" spans="6:10" ht="15">
      <c r="F566" s="30">
        <v>8</v>
      </c>
      <c r="G566" s="30">
        <v>49</v>
      </c>
      <c r="H566" s="30">
        <v>1225</v>
      </c>
      <c r="I566" s="30">
        <f t="shared" si="14"/>
        <v>26950</v>
      </c>
      <c r="J566" s="33">
        <f t="shared" si="15"/>
        <v>37.105751391465674</v>
      </c>
    </row>
    <row r="567" spans="6:10" ht="15">
      <c r="F567" s="30">
        <v>8</v>
      </c>
      <c r="G567" s="30">
        <v>50</v>
      </c>
      <c r="H567" s="30">
        <v>1250</v>
      </c>
      <c r="I567" s="30">
        <f t="shared" si="14"/>
        <v>27500</v>
      </c>
      <c r="J567" s="33">
        <f t="shared" si="15"/>
        <v>36.363636363636367</v>
      </c>
    </row>
    <row r="568" spans="6:10" ht="15">
      <c r="F568" s="30">
        <v>8</v>
      </c>
      <c r="G568" s="30">
        <v>51</v>
      </c>
      <c r="H568" s="30">
        <v>1275</v>
      </c>
      <c r="I568" s="30">
        <f t="shared" si="14"/>
        <v>28050</v>
      </c>
      <c r="J568" s="33">
        <f t="shared" si="15"/>
        <v>35.650623885918002</v>
      </c>
    </row>
    <row r="569" spans="6:10" ht="15">
      <c r="F569" s="30">
        <v>8</v>
      </c>
      <c r="G569" s="30">
        <v>52</v>
      </c>
      <c r="H569" s="30">
        <v>1300</v>
      </c>
      <c r="I569" s="30">
        <f t="shared" si="14"/>
        <v>28600</v>
      </c>
      <c r="J569" s="33">
        <f t="shared" si="15"/>
        <v>34.965034965034967</v>
      </c>
    </row>
    <row r="570" spans="6:10" ht="15">
      <c r="F570" s="30">
        <v>8</v>
      </c>
      <c r="G570" s="30">
        <v>53</v>
      </c>
      <c r="H570" s="30">
        <v>1325</v>
      </c>
      <c r="I570" s="30">
        <f t="shared" si="14"/>
        <v>29150</v>
      </c>
      <c r="J570" s="33">
        <f t="shared" si="15"/>
        <v>34.305317324185253</v>
      </c>
    </row>
    <row r="571" spans="6:10" ht="15">
      <c r="F571" s="30">
        <v>8</v>
      </c>
      <c r="G571" s="30">
        <v>54</v>
      </c>
      <c r="H571" s="30">
        <v>1350</v>
      </c>
      <c r="I571" s="30">
        <f t="shared" si="14"/>
        <v>29700</v>
      </c>
      <c r="J571" s="33">
        <f t="shared" si="15"/>
        <v>33.670033670033668</v>
      </c>
    </row>
    <row r="572" spans="6:10" ht="15">
      <c r="F572" s="30">
        <v>8</v>
      </c>
      <c r="G572" s="30">
        <v>55</v>
      </c>
      <c r="H572" s="30">
        <v>1375</v>
      </c>
      <c r="I572" s="30">
        <f t="shared" si="14"/>
        <v>30250</v>
      </c>
      <c r="J572" s="33">
        <f t="shared" si="15"/>
        <v>33.057851239669425</v>
      </c>
    </row>
    <row r="573" spans="6:10" ht="15">
      <c r="F573" s="30">
        <v>8</v>
      </c>
      <c r="G573" s="30">
        <v>56</v>
      </c>
      <c r="H573" s="30">
        <v>1400</v>
      </c>
      <c r="I573" s="30">
        <f t="shared" si="14"/>
        <v>30800</v>
      </c>
      <c r="J573" s="33">
        <f t="shared" si="15"/>
        <v>32.467532467532465</v>
      </c>
    </row>
    <row r="574" spans="6:10" ht="15">
      <c r="F574" s="30">
        <v>8</v>
      </c>
      <c r="G574" s="30">
        <v>57</v>
      </c>
      <c r="H574" s="30">
        <v>1425</v>
      </c>
      <c r="I574" s="30">
        <f t="shared" si="14"/>
        <v>31350</v>
      </c>
      <c r="J574" s="33">
        <f t="shared" si="15"/>
        <v>31.897926634768744</v>
      </c>
    </row>
    <row r="575" spans="6:10" ht="15">
      <c r="F575" s="30">
        <v>8</v>
      </c>
      <c r="G575" s="30">
        <v>58</v>
      </c>
      <c r="H575" s="30">
        <v>1450</v>
      </c>
      <c r="I575" s="30">
        <f t="shared" si="14"/>
        <v>31900</v>
      </c>
      <c r="J575" s="33">
        <f t="shared" si="15"/>
        <v>31.347962382445143</v>
      </c>
    </row>
    <row r="576" spans="6:10" ht="15">
      <c r="F576" s="30">
        <v>8</v>
      </c>
      <c r="G576" s="30">
        <v>59</v>
      </c>
      <c r="H576" s="30">
        <v>1475</v>
      </c>
      <c r="I576" s="30">
        <f t="shared" si="14"/>
        <v>32450</v>
      </c>
      <c r="J576" s="33">
        <f t="shared" si="15"/>
        <v>30.816640986132509</v>
      </c>
    </row>
    <row r="577" spans="6:10" ht="15">
      <c r="F577" s="30">
        <v>8</v>
      </c>
      <c r="G577" s="30">
        <v>60</v>
      </c>
      <c r="H577" s="30">
        <v>1500</v>
      </c>
      <c r="I577" s="30">
        <f t="shared" si="14"/>
        <v>33000</v>
      </c>
      <c r="J577" s="33">
        <f t="shared" si="15"/>
        <v>30.303030303030301</v>
      </c>
    </row>
    <row r="578" spans="6:10" ht="15">
      <c r="F578" s="30">
        <v>8</v>
      </c>
      <c r="G578" s="30">
        <v>61</v>
      </c>
      <c r="H578" s="30">
        <v>1525</v>
      </c>
      <c r="I578" s="30">
        <f t="shared" si="14"/>
        <v>33550</v>
      </c>
      <c r="J578" s="33">
        <f t="shared" si="15"/>
        <v>29.806259314456035</v>
      </c>
    </row>
    <row r="579" spans="6:10" ht="15">
      <c r="F579" s="30">
        <v>8</v>
      </c>
      <c r="G579" s="30">
        <v>62</v>
      </c>
      <c r="H579" s="30">
        <v>1550</v>
      </c>
      <c r="I579" s="30">
        <f t="shared" si="14"/>
        <v>34100</v>
      </c>
      <c r="J579" s="33">
        <f t="shared" si="15"/>
        <v>29.325513196480937</v>
      </c>
    </row>
    <row r="580" spans="6:10" ht="15">
      <c r="F580" s="30">
        <v>8</v>
      </c>
      <c r="G580" s="30">
        <v>63</v>
      </c>
      <c r="H580" s="30">
        <v>1575</v>
      </c>
      <c r="I580" s="30">
        <f t="shared" si="14"/>
        <v>34650</v>
      </c>
      <c r="J580" s="33">
        <f t="shared" si="15"/>
        <v>28.860028860028859</v>
      </c>
    </row>
    <row r="581" spans="6:10" ht="15">
      <c r="F581" s="30">
        <v>8</v>
      </c>
      <c r="G581" s="30">
        <v>64</v>
      </c>
      <c r="H581" s="30">
        <v>1600</v>
      </c>
      <c r="I581" s="30">
        <f t="shared" si="14"/>
        <v>35200</v>
      </c>
      <c r="J581" s="33">
        <f t="shared" si="15"/>
        <v>28.40909090909091</v>
      </c>
    </row>
    <row r="582" spans="6:10" ht="15">
      <c r="F582" s="30">
        <v>9</v>
      </c>
      <c r="G582" s="30">
        <v>1</v>
      </c>
      <c r="H582" s="30">
        <v>25</v>
      </c>
      <c r="I582" s="30">
        <f t="shared" si="14"/>
        <v>575</v>
      </c>
      <c r="J582" s="33">
        <f t="shared" si="15"/>
        <v>1739.1304347826087</v>
      </c>
    </row>
    <row r="583" spans="6:10" ht="15">
      <c r="F583" s="30">
        <v>9</v>
      </c>
      <c r="G583" s="30">
        <v>2</v>
      </c>
      <c r="H583" s="30">
        <v>50</v>
      </c>
      <c r="I583" s="30">
        <f t="shared" ref="I583:I646" si="16">(14+F583)*H583</f>
        <v>1150</v>
      </c>
      <c r="J583" s="33">
        <f t="shared" ref="J583:J646" si="17">(1/I583)*1000000</f>
        <v>869.56521739130437</v>
      </c>
    </row>
    <row r="584" spans="6:10" ht="15">
      <c r="F584" s="30">
        <v>9</v>
      </c>
      <c r="G584" s="30">
        <v>3</v>
      </c>
      <c r="H584" s="30">
        <v>75</v>
      </c>
      <c r="I584" s="30">
        <f t="shared" si="16"/>
        <v>1725</v>
      </c>
      <c r="J584" s="33">
        <f t="shared" si="17"/>
        <v>579.71014492753625</v>
      </c>
    </row>
    <row r="585" spans="6:10" ht="15">
      <c r="F585" s="30">
        <v>9</v>
      </c>
      <c r="G585" s="30">
        <v>4</v>
      </c>
      <c r="H585" s="30">
        <v>100</v>
      </c>
      <c r="I585" s="30">
        <f t="shared" si="16"/>
        <v>2300</v>
      </c>
      <c r="J585" s="33">
        <f t="shared" si="17"/>
        <v>434.78260869565219</v>
      </c>
    </row>
    <row r="586" spans="6:10" ht="15">
      <c r="F586" s="30">
        <v>9</v>
      </c>
      <c r="G586" s="30">
        <v>5</v>
      </c>
      <c r="H586" s="30">
        <v>125</v>
      </c>
      <c r="I586" s="30">
        <f t="shared" si="16"/>
        <v>2875</v>
      </c>
      <c r="J586" s="33">
        <f t="shared" si="17"/>
        <v>347.82608695652175</v>
      </c>
    </row>
    <row r="587" spans="6:10" ht="15">
      <c r="F587" s="30">
        <v>9</v>
      </c>
      <c r="G587" s="30">
        <v>6</v>
      </c>
      <c r="H587" s="30">
        <v>150</v>
      </c>
      <c r="I587" s="30">
        <f t="shared" si="16"/>
        <v>3450</v>
      </c>
      <c r="J587" s="33">
        <f t="shared" si="17"/>
        <v>289.85507246376812</v>
      </c>
    </row>
    <row r="588" spans="6:10" ht="15">
      <c r="F588" s="30">
        <v>9</v>
      </c>
      <c r="G588" s="30">
        <v>7</v>
      </c>
      <c r="H588" s="30">
        <v>175</v>
      </c>
      <c r="I588" s="30">
        <f t="shared" si="16"/>
        <v>4025</v>
      </c>
      <c r="J588" s="33">
        <f t="shared" si="17"/>
        <v>248.44720496894411</v>
      </c>
    </row>
    <row r="589" spans="6:10" ht="15">
      <c r="F589" s="30">
        <v>9</v>
      </c>
      <c r="G589" s="30">
        <v>8</v>
      </c>
      <c r="H589" s="30">
        <v>200</v>
      </c>
      <c r="I589" s="30">
        <f t="shared" si="16"/>
        <v>4600</v>
      </c>
      <c r="J589" s="33">
        <f t="shared" si="17"/>
        <v>217.39130434782609</v>
      </c>
    </row>
    <row r="590" spans="6:10" ht="15">
      <c r="F590" s="30">
        <v>9</v>
      </c>
      <c r="G590" s="30">
        <v>9</v>
      </c>
      <c r="H590" s="30">
        <v>225</v>
      </c>
      <c r="I590" s="30">
        <f t="shared" si="16"/>
        <v>5175</v>
      </c>
      <c r="J590" s="33">
        <f t="shared" si="17"/>
        <v>193.23671497584542</v>
      </c>
    </row>
    <row r="591" spans="6:10" ht="15">
      <c r="F591" s="30">
        <v>9</v>
      </c>
      <c r="G591" s="30">
        <v>10</v>
      </c>
      <c r="H591" s="30">
        <v>250</v>
      </c>
      <c r="I591" s="30">
        <f t="shared" si="16"/>
        <v>5750</v>
      </c>
      <c r="J591" s="33">
        <f t="shared" si="17"/>
        <v>173.91304347826087</v>
      </c>
    </row>
    <row r="592" spans="6:10" ht="15">
      <c r="F592" s="30">
        <v>9</v>
      </c>
      <c r="G592" s="30">
        <v>11</v>
      </c>
      <c r="H592" s="30">
        <v>275</v>
      </c>
      <c r="I592" s="30">
        <f t="shared" si="16"/>
        <v>6325</v>
      </c>
      <c r="J592" s="33">
        <f t="shared" si="17"/>
        <v>158.10276679841897</v>
      </c>
    </row>
    <row r="593" spans="6:10" ht="15">
      <c r="F593" s="30">
        <v>9</v>
      </c>
      <c r="G593" s="30">
        <v>12</v>
      </c>
      <c r="H593" s="30">
        <v>300</v>
      </c>
      <c r="I593" s="30">
        <f t="shared" si="16"/>
        <v>6900</v>
      </c>
      <c r="J593" s="33">
        <f t="shared" si="17"/>
        <v>144.92753623188406</v>
      </c>
    </row>
    <row r="594" spans="6:10" ht="15">
      <c r="F594" s="30">
        <v>9</v>
      </c>
      <c r="G594" s="30">
        <v>13</v>
      </c>
      <c r="H594" s="30">
        <v>325</v>
      </c>
      <c r="I594" s="30">
        <f t="shared" si="16"/>
        <v>7475</v>
      </c>
      <c r="J594" s="33">
        <f t="shared" si="17"/>
        <v>133.77926421404683</v>
      </c>
    </row>
    <row r="595" spans="6:10" ht="15">
      <c r="F595" s="30">
        <v>9</v>
      </c>
      <c r="G595" s="30">
        <v>14</v>
      </c>
      <c r="H595" s="30">
        <v>350</v>
      </c>
      <c r="I595" s="30">
        <f t="shared" si="16"/>
        <v>8050</v>
      </c>
      <c r="J595" s="33">
        <f t="shared" si="17"/>
        <v>124.22360248447205</v>
      </c>
    </row>
    <row r="596" spans="6:10" ht="15">
      <c r="F596" s="30">
        <v>9</v>
      </c>
      <c r="G596" s="30">
        <v>15</v>
      </c>
      <c r="H596" s="30">
        <v>375</v>
      </c>
      <c r="I596" s="30">
        <f t="shared" si="16"/>
        <v>8625</v>
      </c>
      <c r="J596" s="33">
        <f t="shared" si="17"/>
        <v>115.94202898550724</v>
      </c>
    </row>
    <row r="597" spans="6:10" ht="15">
      <c r="F597" s="30">
        <v>9</v>
      </c>
      <c r="G597" s="30">
        <v>16</v>
      </c>
      <c r="H597" s="30">
        <v>400</v>
      </c>
      <c r="I597" s="30">
        <f t="shared" si="16"/>
        <v>9200</v>
      </c>
      <c r="J597" s="33">
        <f t="shared" si="17"/>
        <v>108.69565217391305</v>
      </c>
    </row>
    <row r="598" spans="6:10" ht="15">
      <c r="F598" s="30">
        <v>9</v>
      </c>
      <c r="G598" s="30">
        <v>17</v>
      </c>
      <c r="H598" s="30">
        <v>425</v>
      </c>
      <c r="I598" s="30">
        <f t="shared" si="16"/>
        <v>9775</v>
      </c>
      <c r="J598" s="33">
        <f t="shared" si="17"/>
        <v>102.30179028132993</v>
      </c>
    </row>
    <row r="599" spans="6:10" ht="15">
      <c r="F599" s="30">
        <v>9</v>
      </c>
      <c r="G599" s="30">
        <v>18</v>
      </c>
      <c r="H599" s="30">
        <v>450</v>
      </c>
      <c r="I599" s="30">
        <f t="shared" si="16"/>
        <v>10350</v>
      </c>
      <c r="J599" s="33">
        <f t="shared" si="17"/>
        <v>96.618357487922708</v>
      </c>
    </row>
    <row r="600" spans="6:10" ht="15">
      <c r="F600" s="30">
        <v>9</v>
      </c>
      <c r="G600" s="30">
        <v>19</v>
      </c>
      <c r="H600" s="30">
        <v>475</v>
      </c>
      <c r="I600" s="30">
        <f t="shared" si="16"/>
        <v>10925</v>
      </c>
      <c r="J600" s="33">
        <f t="shared" si="17"/>
        <v>91.533180778032033</v>
      </c>
    </row>
    <row r="601" spans="6:10" ht="15">
      <c r="F601" s="30">
        <v>9</v>
      </c>
      <c r="G601" s="30">
        <v>20</v>
      </c>
      <c r="H601" s="30">
        <v>500</v>
      </c>
      <c r="I601" s="30">
        <f t="shared" si="16"/>
        <v>11500</v>
      </c>
      <c r="J601" s="33">
        <f t="shared" si="17"/>
        <v>86.956521739130437</v>
      </c>
    </row>
    <row r="602" spans="6:10" ht="15">
      <c r="F602" s="30">
        <v>9</v>
      </c>
      <c r="G602" s="30">
        <v>21</v>
      </c>
      <c r="H602" s="30">
        <v>525</v>
      </c>
      <c r="I602" s="30">
        <f t="shared" si="16"/>
        <v>12075</v>
      </c>
      <c r="J602" s="33">
        <f t="shared" si="17"/>
        <v>82.815734989648021</v>
      </c>
    </row>
    <row r="603" spans="6:10" ht="15">
      <c r="F603" s="30">
        <v>9</v>
      </c>
      <c r="G603" s="30">
        <v>22</v>
      </c>
      <c r="H603" s="30">
        <v>550</v>
      </c>
      <c r="I603" s="30">
        <f t="shared" si="16"/>
        <v>12650</v>
      </c>
      <c r="J603" s="33">
        <f t="shared" si="17"/>
        <v>79.051383399209485</v>
      </c>
    </row>
    <row r="604" spans="6:10" ht="15">
      <c r="F604" s="30">
        <v>9</v>
      </c>
      <c r="G604" s="30">
        <v>23</v>
      </c>
      <c r="H604" s="30">
        <v>575</v>
      </c>
      <c r="I604" s="30">
        <f t="shared" si="16"/>
        <v>13225</v>
      </c>
      <c r="J604" s="33">
        <f t="shared" si="17"/>
        <v>75.614366729678636</v>
      </c>
    </row>
    <row r="605" spans="6:10" ht="15">
      <c r="F605" s="30">
        <v>9</v>
      </c>
      <c r="G605" s="30">
        <v>24</v>
      </c>
      <c r="H605" s="30">
        <v>600</v>
      </c>
      <c r="I605" s="30">
        <f t="shared" si="16"/>
        <v>13800</v>
      </c>
      <c r="J605" s="33">
        <f t="shared" si="17"/>
        <v>72.463768115942031</v>
      </c>
    </row>
    <row r="606" spans="6:10" ht="15">
      <c r="F606" s="30">
        <v>9</v>
      </c>
      <c r="G606" s="30">
        <v>25</v>
      </c>
      <c r="H606" s="30">
        <v>625</v>
      </c>
      <c r="I606" s="30">
        <f t="shared" si="16"/>
        <v>14375</v>
      </c>
      <c r="J606" s="33">
        <f t="shared" si="17"/>
        <v>69.565217391304344</v>
      </c>
    </row>
    <row r="607" spans="6:10" ht="15">
      <c r="F607" s="30">
        <v>9</v>
      </c>
      <c r="G607" s="30">
        <v>26</v>
      </c>
      <c r="H607" s="30">
        <v>650</v>
      </c>
      <c r="I607" s="30">
        <f t="shared" si="16"/>
        <v>14950</v>
      </c>
      <c r="J607" s="33">
        <f t="shared" si="17"/>
        <v>66.889632107023417</v>
      </c>
    </row>
    <row r="608" spans="6:10" ht="15">
      <c r="F608" s="30">
        <v>9</v>
      </c>
      <c r="G608" s="30">
        <v>27</v>
      </c>
      <c r="H608" s="30">
        <v>675</v>
      </c>
      <c r="I608" s="30">
        <f t="shared" si="16"/>
        <v>15525</v>
      </c>
      <c r="J608" s="33">
        <f t="shared" si="17"/>
        <v>64.412238325281791</v>
      </c>
    </row>
    <row r="609" spans="6:10" ht="15">
      <c r="F609" s="30">
        <v>9</v>
      </c>
      <c r="G609" s="30">
        <v>28</v>
      </c>
      <c r="H609" s="30">
        <v>700</v>
      </c>
      <c r="I609" s="30">
        <f t="shared" si="16"/>
        <v>16100</v>
      </c>
      <c r="J609" s="33">
        <f t="shared" si="17"/>
        <v>62.111801242236027</v>
      </c>
    </row>
    <row r="610" spans="6:10" ht="15">
      <c r="F610" s="30">
        <v>9</v>
      </c>
      <c r="G610" s="30">
        <v>29</v>
      </c>
      <c r="H610" s="30">
        <v>725</v>
      </c>
      <c r="I610" s="30">
        <f t="shared" si="16"/>
        <v>16675</v>
      </c>
      <c r="J610" s="33">
        <f t="shared" si="17"/>
        <v>59.970014992503749</v>
      </c>
    </row>
    <row r="611" spans="6:10" ht="15">
      <c r="F611" s="30">
        <v>9</v>
      </c>
      <c r="G611" s="30">
        <v>30</v>
      </c>
      <c r="H611" s="30">
        <v>750</v>
      </c>
      <c r="I611" s="30">
        <f t="shared" si="16"/>
        <v>17250</v>
      </c>
      <c r="J611" s="33">
        <f t="shared" si="17"/>
        <v>57.971014492753618</v>
      </c>
    </row>
    <row r="612" spans="6:10" ht="15">
      <c r="F612" s="30">
        <v>9</v>
      </c>
      <c r="G612" s="30">
        <v>31</v>
      </c>
      <c r="H612" s="30">
        <v>775</v>
      </c>
      <c r="I612" s="30">
        <f t="shared" si="16"/>
        <v>17825</v>
      </c>
      <c r="J612" s="33">
        <f t="shared" si="17"/>
        <v>56.100981767180926</v>
      </c>
    </row>
    <row r="613" spans="6:10" ht="15">
      <c r="F613" s="30">
        <v>9</v>
      </c>
      <c r="G613" s="30">
        <v>32</v>
      </c>
      <c r="H613" s="30">
        <v>800</v>
      </c>
      <c r="I613" s="30">
        <f t="shared" si="16"/>
        <v>18400</v>
      </c>
      <c r="J613" s="33">
        <f t="shared" si="17"/>
        <v>54.347826086956523</v>
      </c>
    </row>
    <row r="614" spans="6:10" ht="15">
      <c r="F614" s="30">
        <v>9</v>
      </c>
      <c r="G614" s="30">
        <v>33</v>
      </c>
      <c r="H614" s="30">
        <v>825</v>
      </c>
      <c r="I614" s="30">
        <f t="shared" si="16"/>
        <v>18975</v>
      </c>
      <c r="J614" s="33">
        <f t="shared" si="17"/>
        <v>52.700922266139656</v>
      </c>
    </row>
    <row r="615" spans="6:10" ht="15">
      <c r="F615" s="30">
        <v>9</v>
      </c>
      <c r="G615" s="30">
        <v>34</v>
      </c>
      <c r="H615" s="30">
        <v>850</v>
      </c>
      <c r="I615" s="30">
        <f t="shared" si="16"/>
        <v>19550</v>
      </c>
      <c r="J615" s="33">
        <f t="shared" si="17"/>
        <v>51.150895140664964</v>
      </c>
    </row>
    <row r="616" spans="6:10" ht="15">
      <c r="F616" s="30">
        <v>9</v>
      </c>
      <c r="G616" s="30">
        <v>35</v>
      </c>
      <c r="H616" s="30">
        <v>875</v>
      </c>
      <c r="I616" s="30">
        <f t="shared" si="16"/>
        <v>20125</v>
      </c>
      <c r="J616" s="33">
        <f t="shared" si="17"/>
        <v>49.689440993788821</v>
      </c>
    </row>
    <row r="617" spans="6:10" ht="15">
      <c r="F617" s="30">
        <v>9</v>
      </c>
      <c r="G617" s="30">
        <v>36</v>
      </c>
      <c r="H617" s="30">
        <v>900</v>
      </c>
      <c r="I617" s="30">
        <f t="shared" si="16"/>
        <v>20700</v>
      </c>
      <c r="J617" s="33">
        <f t="shared" si="17"/>
        <v>48.309178743961354</v>
      </c>
    </row>
    <row r="618" spans="6:10" ht="15">
      <c r="F618" s="30">
        <v>9</v>
      </c>
      <c r="G618" s="30">
        <v>37</v>
      </c>
      <c r="H618" s="30">
        <v>925</v>
      </c>
      <c r="I618" s="30">
        <f t="shared" si="16"/>
        <v>21275</v>
      </c>
      <c r="J618" s="33">
        <f t="shared" si="17"/>
        <v>47.003525264394831</v>
      </c>
    </row>
    <row r="619" spans="6:10" ht="15">
      <c r="F619" s="30">
        <v>9</v>
      </c>
      <c r="G619" s="30">
        <v>38</v>
      </c>
      <c r="H619" s="30">
        <v>950</v>
      </c>
      <c r="I619" s="30">
        <f t="shared" si="16"/>
        <v>21850</v>
      </c>
      <c r="J619" s="33">
        <f t="shared" si="17"/>
        <v>45.766590389016017</v>
      </c>
    </row>
    <row r="620" spans="6:10" ht="15">
      <c r="F620" s="30">
        <v>9</v>
      </c>
      <c r="G620" s="30">
        <v>39</v>
      </c>
      <c r="H620" s="30">
        <v>975</v>
      </c>
      <c r="I620" s="30">
        <f t="shared" si="16"/>
        <v>22425</v>
      </c>
      <c r="J620" s="33">
        <f t="shared" si="17"/>
        <v>44.593088071348937</v>
      </c>
    </row>
    <row r="621" spans="6:10" ht="15">
      <c r="F621" s="30">
        <v>9</v>
      </c>
      <c r="G621" s="30">
        <v>40</v>
      </c>
      <c r="H621" s="30">
        <v>1000</v>
      </c>
      <c r="I621" s="30">
        <f t="shared" si="16"/>
        <v>23000</v>
      </c>
      <c r="J621" s="33">
        <f t="shared" si="17"/>
        <v>43.478260869565219</v>
      </c>
    </row>
    <row r="622" spans="6:10" ht="15">
      <c r="F622" s="30">
        <v>9</v>
      </c>
      <c r="G622" s="30">
        <v>41</v>
      </c>
      <c r="H622" s="30">
        <v>1025</v>
      </c>
      <c r="I622" s="30">
        <f t="shared" si="16"/>
        <v>23575</v>
      </c>
      <c r="J622" s="33">
        <f t="shared" si="17"/>
        <v>42.417815482502647</v>
      </c>
    </row>
    <row r="623" spans="6:10" ht="15">
      <c r="F623" s="30">
        <v>9</v>
      </c>
      <c r="G623" s="30">
        <v>42</v>
      </c>
      <c r="H623" s="30">
        <v>1050</v>
      </c>
      <c r="I623" s="30">
        <f t="shared" si="16"/>
        <v>24150</v>
      </c>
      <c r="J623" s="33">
        <f t="shared" si="17"/>
        <v>41.407867494824011</v>
      </c>
    </row>
    <row r="624" spans="6:10" ht="15">
      <c r="F624" s="30">
        <v>9</v>
      </c>
      <c r="G624" s="30">
        <v>43</v>
      </c>
      <c r="H624" s="30">
        <v>1075</v>
      </c>
      <c r="I624" s="30">
        <f t="shared" si="16"/>
        <v>24725</v>
      </c>
      <c r="J624" s="33">
        <f t="shared" si="17"/>
        <v>40.444893832153696</v>
      </c>
    </row>
    <row r="625" spans="6:10" ht="15">
      <c r="F625" s="30">
        <v>9</v>
      </c>
      <c r="G625" s="30">
        <v>44</v>
      </c>
      <c r="H625" s="30">
        <v>1100</v>
      </c>
      <c r="I625" s="30">
        <f t="shared" si="16"/>
        <v>25300</v>
      </c>
      <c r="J625" s="33">
        <f t="shared" si="17"/>
        <v>39.525691699604742</v>
      </c>
    </row>
    <row r="626" spans="6:10" ht="15">
      <c r="F626" s="30">
        <v>9</v>
      </c>
      <c r="G626" s="30">
        <v>45</v>
      </c>
      <c r="H626" s="30">
        <v>1125</v>
      </c>
      <c r="I626" s="30">
        <f t="shared" si="16"/>
        <v>25875</v>
      </c>
      <c r="J626" s="33">
        <f t="shared" si="17"/>
        <v>38.647342995169083</v>
      </c>
    </row>
    <row r="627" spans="6:10" ht="15">
      <c r="F627" s="30">
        <v>9</v>
      </c>
      <c r="G627" s="30">
        <v>46</v>
      </c>
      <c r="H627" s="30">
        <v>1150</v>
      </c>
      <c r="I627" s="30">
        <f t="shared" si="16"/>
        <v>26450</v>
      </c>
      <c r="J627" s="33">
        <f t="shared" si="17"/>
        <v>37.807183364839318</v>
      </c>
    </row>
    <row r="628" spans="6:10" ht="15">
      <c r="F628" s="30">
        <v>9</v>
      </c>
      <c r="G628" s="30">
        <v>47</v>
      </c>
      <c r="H628" s="30">
        <v>1175</v>
      </c>
      <c r="I628" s="30">
        <f t="shared" si="16"/>
        <v>27025</v>
      </c>
      <c r="J628" s="33">
        <f t="shared" si="17"/>
        <v>37.002775208140612</v>
      </c>
    </row>
    <row r="629" spans="6:10" ht="15">
      <c r="F629" s="30">
        <v>9</v>
      </c>
      <c r="G629" s="30">
        <v>48</v>
      </c>
      <c r="H629" s="30">
        <v>1200</v>
      </c>
      <c r="I629" s="30">
        <f t="shared" si="16"/>
        <v>27600</v>
      </c>
      <c r="J629" s="33">
        <f t="shared" si="17"/>
        <v>36.231884057971016</v>
      </c>
    </row>
    <row r="630" spans="6:10" ht="15">
      <c r="F630" s="30">
        <v>9</v>
      </c>
      <c r="G630" s="30">
        <v>49</v>
      </c>
      <c r="H630" s="30">
        <v>1225</v>
      </c>
      <c r="I630" s="30">
        <f t="shared" si="16"/>
        <v>28175</v>
      </c>
      <c r="J630" s="33">
        <f t="shared" si="17"/>
        <v>35.492457852706302</v>
      </c>
    </row>
    <row r="631" spans="6:10" ht="15">
      <c r="F631" s="30">
        <v>9</v>
      </c>
      <c r="G631" s="30">
        <v>50</v>
      </c>
      <c r="H631" s="30">
        <v>1250</v>
      </c>
      <c r="I631" s="30">
        <f t="shared" si="16"/>
        <v>28750</v>
      </c>
      <c r="J631" s="33">
        <f t="shared" si="17"/>
        <v>34.782608695652172</v>
      </c>
    </row>
    <row r="632" spans="6:10" ht="15">
      <c r="F632" s="30">
        <v>9</v>
      </c>
      <c r="G632" s="30">
        <v>51</v>
      </c>
      <c r="H632" s="30">
        <v>1275</v>
      </c>
      <c r="I632" s="30">
        <f t="shared" si="16"/>
        <v>29325</v>
      </c>
      <c r="J632" s="33">
        <f t="shared" si="17"/>
        <v>34.10059676044331</v>
      </c>
    </row>
    <row r="633" spans="6:10" ht="15">
      <c r="F633" s="30">
        <v>9</v>
      </c>
      <c r="G633" s="30">
        <v>52</v>
      </c>
      <c r="H633" s="30">
        <v>1300</v>
      </c>
      <c r="I633" s="30">
        <f t="shared" si="16"/>
        <v>29900</v>
      </c>
      <c r="J633" s="33">
        <f t="shared" si="17"/>
        <v>33.444816053511708</v>
      </c>
    </row>
    <row r="634" spans="6:10" ht="15">
      <c r="F634" s="30">
        <v>9</v>
      </c>
      <c r="G634" s="30">
        <v>53</v>
      </c>
      <c r="H634" s="30">
        <v>1325</v>
      </c>
      <c r="I634" s="30">
        <f t="shared" si="16"/>
        <v>30475</v>
      </c>
      <c r="J634" s="33">
        <f t="shared" si="17"/>
        <v>32.813781788351108</v>
      </c>
    </row>
    <row r="635" spans="6:10" ht="15">
      <c r="F635" s="30">
        <v>9</v>
      </c>
      <c r="G635" s="30">
        <v>54</v>
      </c>
      <c r="H635" s="30">
        <v>1350</v>
      </c>
      <c r="I635" s="30">
        <f t="shared" si="16"/>
        <v>31050</v>
      </c>
      <c r="J635" s="33">
        <f t="shared" si="17"/>
        <v>32.206119162640896</v>
      </c>
    </row>
    <row r="636" spans="6:10" ht="15">
      <c r="F636" s="30">
        <v>9</v>
      </c>
      <c r="G636" s="30">
        <v>55</v>
      </c>
      <c r="H636" s="30">
        <v>1375</v>
      </c>
      <c r="I636" s="30">
        <f t="shared" si="16"/>
        <v>31625</v>
      </c>
      <c r="J636" s="33">
        <f t="shared" si="17"/>
        <v>31.62055335968379</v>
      </c>
    </row>
    <row r="637" spans="6:10" ht="15">
      <c r="F637" s="30">
        <v>9</v>
      </c>
      <c r="G637" s="30">
        <v>56</v>
      </c>
      <c r="H637" s="30">
        <v>1400</v>
      </c>
      <c r="I637" s="30">
        <f t="shared" si="16"/>
        <v>32200</v>
      </c>
      <c r="J637" s="33">
        <f t="shared" si="17"/>
        <v>31.055900621118013</v>
      </c>
    </row>
    <row r="638" spans="6:10" ht="15">
      <c r="F638" s="30">
        <v>9</v>
      </c>
      <c r="G638" s="30">
        <v>57</v>
      </c>
      <c r="H638" s="30">
        <v>1425</v>
      </c>
      <c r="I638" s="30">
        <f t="shared" si="16"/>
        <v>32775</v>
      </c>
      <c r="J638" s="33">
        <f t="shared" si="17"/>
        <v>30.511060259344013</v>
      </c>
    </row>
    <row r="639" spans="6:10" ht="15">
      <c r="F639" s="30">
        <v>9</v>
      </c>
      <c r="G639" s="30">
        <v>58</v>
      </c>
      <c r="H639" s="30">
        <v>1450</v>
      </c>
      <c r="I639" s="30">
        <f t="shared" si="16"/>
        <v>33350</v>
      </c>
      <c r="J639" s="33">
        <f t="shared" si="17"/>
        <v>29.985007496251875</v>
      </c>
    </row>
    <row r="640" spans="6:10" ht="15">
      <c r="F640" s="30">
        <v>9</v>
      </c>
      <c r="G640" s="30">
        <v>59</v>
      </c>
      <c r="H640" s="30">
        <v>1475</v>
      </c>
      <c r="I640" s="30">
        <f t="shared" si="16"/>
        <v>33925</v>
      </c>
      <c r="J640" s="33">
        <f t="shared" si="17"/>
        <v>29.476787030213707</v>
      </c>
    </row>
    <row r="641" spans="6:10" ht="15">
      <c r="F641" s="30">
        <v>9</v>
      </c>
      <c r="G641" s="30">
        <v>60</v>
      </c>
      <c r="H641" s="30">
        <v>1500</v>
      </c>
      <c r="I641" s="30">
        <f t="shared" si="16"/>
        <v>34500</v>
      </c>
      <c r="J641" s="33">
        <f t="shared" si="17"/>
        <v>28.985507246376809</v>
      </c>
    </row>
    <row r="642" spans="6:10" ht="15">
      <c r="F642" s="30">
        <v>9</v>
      </c>
      <c r="G642" s="30">
        <v>61</v>
      </c>
      <c r="H642" s="30">
        <v>1525</v>
      </c>
      <c r="I642" s="30">
        <f t="shared" si="16"/>
        <v>35075</v>
      </c>
      <c r="J642" s="33">
        <f t="shared" si="17"/>
        <v>28.510334996436207</v>
      </c>
    </row>
    <row r="643" spans="6:10" ht="15">
      <c r="F643" s="30">
        <v>9</v>
      </c>
      <c r="G643" s="30">
        <v>62</v>
      </c>
      <c r="H643" s="30">
        <v>1550</v>
      </c>
      <c r="I643" s="30">
        <f t="shared" si="16"/>
        <v>35650</v>
      </c>
      <c r="J643" s="33">
        <f t="shared" si="17"/>
        <v>28.050490883590463</v>
      </c>
    </row>
    <row r="644" spans="6:10" ht="15">
      <c r="F644" s="30">
        <v>9</v>
      </c>
      <c r="G644" s="30">
        <v>63</v>
      </c>
      <c r="H644" s="30">
        <v>1575</v>
      </c>
      <c r="I644" s="30">
        <f t="shared" si="16"/>
        <v>36225</v>
      </c>
      <c r="J644" s="33">
        <f t="shared" si="17"/>
        <v>27.605244996549345</v>
      </c>
    </row>
    <row r="645" spans="6:10" ht="15">
      <c r="F645" s="30">
        <v>9</v>
      </c>
      <c r="G645" s="30">
        <v>64</v>
      </c>
      <c r="H645" s="30">
        <v>1600</v>
      </c>
      <c r="I645" s="30">
        <f t="shared" si="16"/>
        <v>36800</v>
      </c>
      <c r="J645" s="33">
        <f t="shared" si="17"/>
        <v>27.173913043478262</v>
      </c>
    </row>
    <row r="646" spans="6:10" ht="15">
      <c r="F646" s="30">
        <v>10</v>
      </c>
      <c r="G646" s="30">
        <v>1</v>
      </c>
      <c r="H646" s="30">
        <v>25</v>
      </c>
      <c r="I646" s="30">
        <f t="shared" si="16"/>
        <v>600</v>
      </c>
      <c r="J646" s="33">
        <f t="shared" si="17"/>
        <v>1666.6666666666667</v>
      </c>
    </row>
    <row r="647" spans="6:10" ht="15">
      <c r="F647" s="30">
        <v>10</v>
      </c>
      <c r="G647" s="30">
        <v>2</v>
      </c>
      <c r="H647" s="30">
        <v>50</v>
      </c>
      <c r="I647" s="30">
        <f t="shared" ref="I647:I710" si="18">(14+F647)*H647</f>
        <v>1200</v>
      </c>
      <c r="J647" s="33">
        <f t="shared" ref="J647:J710" si="19">(1/I647)*1000000</f>
        <v>833.33333333333337</v>
      </c>
    </row>
    <row r="648" spans="6:10" ht="15">
      <c r="F648" s="30">
        <v>10</v>
      </c>
      <c r="G648" s="30">
        <v>3</v>
      </c>
      <c r="H648" s="30">
        <v>75</v>
      </c>
      <c r="I648" s="30">
        <f t="shared" si="18"/>
        <v>1800</v>
      </c>
      <c r="J648" s="33">
        <f t="shared" si="19"/>
        <v>555.55555555555554</v>
      </c>
    </row>
    <row r="649" spans="6:10" ht="15">
      <c r="F649" s="30">
        <v>10</v>
      </c>
      <c r="G649" s="30">
        <v>4</v>
      </c>
      <c r="H649" s="30">
        <v>100</v>
      </c>
      <c r="I649" s="30">
        <f t="shared" si="18"/>
        <v>2400</v>
      </c>
      <c r="J649" s="33">
        <f t="shared" si="19"/>
        <v>416.66666666666669</v>
      </c>
    </row>
    <row r="650" spans="6:10" ht="15">
      <c r="F650" s="30">
        <v>10</v>
      </c>
      <c r="G650" s="30">
        <v>5</v>
      </c>
      <c r="H650" s="30">
        <v>125</v>
      </c>
      <c r="I650" s="30">
        <f t="shared" si="18"/>
        <v>3000</v>
      </c>
      <c r="J650" s="33">
        <f t="shared" si="19"/>
        <v>333.33333333333331</v>
      </c>
    </row>
    <row r="651" spans="6:10" ht="15">
      <c r="F651" s="30">
        <v>10</v>
      </c>
      <c r="G651" s="30">
        <v>6</v>
      </c>
      <c r="H651" s="30">
        <v>150</v>
      </c>
      <c r="I651" s="30">
        <f t="shared" si="18"/>
        <v>3600</v>
      </c>
      <c r="J651" s="33">
        <f t="shared" si="19"/>
        <v>277.77777777777777</v>
      </c>
    </row>
    <row r="652" spans="6:10" ht="15">
      <c r="F652" s="30">
        <v>10</v>
      </c>
      <c r="G652" s="30">
        <v>7</v>
      </c>
      <c r="H652" s="30">
        <v>175</v>
      </c>
      <c r="I652" s="30">
        <f t="shared" si="18"/>
        <v>4200</v>
      </c>
      <c r="J652" s="33">
        <f t="shared" si="19"/>
        <v>238.0952380952381</v>
      </c>
    </row>
    <row r="653" spans="6:10" ht="15">
      <c r="F653" s="30">
        <v>10</v>
      </c>
      <c r="G653" s="30">
        <v>8</v>
      </c>
      <c r="H653" s="30">
        <v>200</v>
      </c>
      <c r="I653" s="30">
        <f t="shared" si="18"/>
        <v>4800</v>
      </c>
      <c r="J653" s="33">
        <f t="shared" si="19"/>
        <v>208.33333333333334</v>
      </c>
    </row>
    <row r="654" spans="6:10" ht="15">
      <c r="F654" s="30">
        <v>10</v>
      </c>
      <c r="G654" s="30">
        <v>9</v>
      </c>
      <c r="H654" s="30">
        <v>225</v>
      </c>
      <c r="I654" s="30">
        <f t="shared" si="18"/>
        <v>5400</v>
      </c>
      <c r="J654" s="33">
        <f t="shared" si="19"/>
        <v>185.18518518518516</v>
      </c>
    </row>
    <row r="655" spans="6:10" ht="15">
      <c r="F655" s="30">
        <v>10</v>
      </c>
      <c r="G655" s="30">
        <v>10</v>
      </c>
      <c r="H655" s="30">
        <v>250</v>
      </c>
      <c r="I655" s="30">
        <f t="shared" si="18"/>
        <v>6000</v>
      </c>
      <c r="J655" s="33">
        <f t="shared" si="19"/>
        <v>166.66666666666666</v>
      </c>
    </row>
    <row r="656" spans="6:10" ht="15">
      <c r="F656" s="30">
        <v>10</v>
      </c>
      <c r="G656" s="30">
        <v>11</v>
      </c>
      <c r="H656" s="30">
        <v>275</v>
      </c>
      <c r="I656" s="30">
        <f t="shared" si="18"/>
        <v>6600</v>
      </c>
      <c r="J656" s="33">
        <f t="shared" si="19"/>
        <v>151.5151515151515</v>
      </c>
    </row>
    <row r="657" spans="6:10" ht="15">
      <c r="F657" s="30">
        <v>10</v>
      </c>
      <c r="G657" s="30">
        <v>12</v>
      </c>
      <c r="H657" s="30">
        <v>300</v>
      </c>
      <c r="I657" s="30">
        <f t="shared" si="18"/>
        <v>7200</v>
      </c>
      <c r="J657" s="33">
        <f t="shared" si="19"/>
        <v>138.88888888888889</v>
      </c>
    </row>
    <row r="658" spans="6:10" ht="15">
      <c r="F658" s="30">
        <v>10</v>
      </c>
      <c r="G658" s="30">
        <v>13</v>
      </c>
      <c r="H658" s="30">
        <v>325</v>
      </c>
      <c r="I658" s="30">
        <f t="shared" si="18"/>
        <v>7800</v>
      </c>
      <c r="J658" s="33">
        <f t="shared" si="19"/>
        <v>128.2051282051282</v>
      </c>
    </row>
    <row r="659" spans="6:10" ht="15">
      <c r="F659" s="30">
        <v>10</v>
      </c>
      <c r="G659" s="30">
        <v>14</v>
      </c>
      <c r="H659" s="30">
        <v>350</v>
      </c>
      <c r="I659" s="30">
        <f t="shared" si="18"/>
        <v>8400</v>
      </c>
      <c r="J659" s="33">
        <f t="shared" si="19"/>
        <v>119.04761904761905</v>
      </c>
    </row>
    <row r="660" spans="6:10" ht="15">
      <c r="F660" s="30">
        <v>10</v>
      </c>
      <c r="G660" s="30">
        <v>15</v>
      </c>
      <c r="H660" s="30">
        <v>375</v>
      </c>
      <c r="I660" s="30">
        <f t="shared" si="18"/>
        <v>9000</v>
      </c>
      <c r="J660" s="33">
        <f t="shared" si="19"/>
        <v>111.11111111111111</v>
      </c>
    </row>
    <row r="661" spans="6:10" ht="15">
      <c r="F661" s="30">
        <v>10</v>
      </c>
      <c r="G661" s="30">
        <v>16</v>
      </c>
      <c r="H661" s="30">
        <v>400</v>
      </c>
      <c r="I661" s="30">
        <f t="shared" si="18"/>
        <v>9600</v>
      </c>
      <c r="J661" s="33">
        <f t="shared" si="19"/>
        <v>104.16666666666667</v>
      </c>
    </row>
    <row r="662" spans="6:10" ht="15">
      <c r="F662" s="30">
        <v>10</v>
      </c>
      <c r="G662" s="30">
        <v>17</v>
      </c>
      <c r="H662" s="30">
        <v>425</v>
      </c>
      <c r="I662" s="30">
        <f t="shared" si="18"/>
        <v>10200</v>
      </c>
      <c r="J662" s="33">
        <f t="shared" si="19"/>
        <v>98.039215686274503</v>
      </c>
    </row>
    <row r="663" spans="6:10" ht="15">
      <c r="F663" s="30">
        <v>10</v>
      </c>
      <c r="G663" s="30">
        <v>18</v>
      </c>
      <c r="H663" s="30">
        <v>450</v>
      </c>
      <c r="I663" s="30">
        <f t="shared" si="18"/>
        <v>10800</v>
      </c>
      <c r="J663" s="33">
        <f t="shared" si="19"/>
        <v>92.592592592592581</v>
      </c>
    </row>
    <row r="664" spans="6:10" ht="15">
      <c r="F664" s="30">
        <v>10</v>
      </c>
      <c r="G664" s="30">
        <v>19</v>
      </c>
      <c r="H664" s="30">
        <v>475</v>
      </c>
      <c r="I664" s="30">
        <f t="shared" si="18"/>
        <v>11400</v>
      </c>
      <c r="J664" s="33">
        <f t="shared" si="19"/>
        <v>87.719298245614027</v>
      </c>
    </row>
    <row r="665" spans="6:10" ht="15">
      <c r="F665" s="30">
        <v>10</v>
      </c>
      <c r="G665" s="30">
        <v>20</v>
      </c>
      <c r="H665" s="30">
        <v>500</v>
      </c>
      <c r="I665" s="30">
        <f t="shared" si="18"/>
        <v>12000</v>
      </c>
      <c r="J665" s="33">
        <f t="shared" si="19"/>
        <v>83.333333333333329</v>
      </c>
    </row>
    <row r="666" spans="6:10" ht="15">
      <c r="F666" s="30">
        <v>10</v>
      </c>
      <c r="G666" s="30">
        <v>21</v>
      </c>
      <c r="H666" s="30">
        <v>525</v>
      </c>
      <c r="I666" s="30">
        <f t="shared" si="18"/>
        <v>12600</v>
      </c>
      <c r="J666" s="33">
        <f t="shared" si="19"/>
        <v>79.365079365079367</v>
      </c>
    </row>
    <row r="667" spans="6:10" ht="15">
      <c r="F667" s="30">
        <v>10</v>
      </c>
      <c r="G667" s="30">
        <v>22</v>
      </c>
      <c r="H667" s="30">
        <v>550</v>
      </c>
      <c r="I667" s="30">
        <f t="shared" si="18"/>
        <v>13200</v>
      </c>
      <c r="J667" s="33">
        <f t="shared" si="19"/>
        <v>75.757575757575751</v>
      </c>
    </row>
    <row r="668" spans="6:10" ht="15">
      <c r="F668" s="30">
        <v>10</v>
      </c>
      <c r="G668" s="30">
        <v>23</v>
      </c>
      <c r="H668" s="30">
        <v>575</v>
      </c>
      <c r="I668" s="30">
        <f t="shared" si="18"/>
        <v>13800</v>
      </c>
      <c r="J668" s="33">
        <f t="shared" si="19"/>
        <v>72.463768115942031</v>
      </c>
    </row>
    <row r="669" spans="6:10" ht="15">
      <c r="F669" s="30">
        <v>10</v>
      </c>
      <c r="G669" s="30">
        <v>24</v>
      </c>
      <c r="H669" s="30">
        <v>600</v>
      </c>
      <c r="I669" s="30">
        <f t="shared" si="18"/>
        <v>14400</v>
      </c>
      <c r="J669" s="33">
        <f t="shared" si="19"/>
        <v>69.444444444444443</v>
      </c>
    </row>
    <row r="670" spans="6:10" ht="15">
      <c r="F670" s="30">
        <v>10</v>
      </c>
      <c r="G670" s="30">
        <v>25</v>
      </c>
      <c r="H670" s="30">
        <v>625</v>
      </c>
      <c r="I670" s="30">
        <f t="shared" si="18"/>
        <v>15000</v>
      </c>
      <c r="J670" s="33">
        <f t="shared" si="19"/>
        <v>66.666666666666671</v>
      </c>
    </row>
    <row r="671" spans="6:10" ht="15">
      <c r="F671" s="30">
        <v>10</v>
      </c>
      <c r="G671" s="30">
        <v>26</v>
      </c>
      <c r="H671" s="30">
        <v>650</v>
      </c>
      <c r="I671" s="30">
        <f t="shared" si="18"/>
        <v>15600</v>
      </c>
      <c r="J671" s="33">
        <f t="shared" si="19"/>
        <v>64.102564102564102</v>
      </c>
    </row>
    <row r="672" spans="6:10" ht="15">
      <c r="F672" s="30">
        <v>10</v>
      </c>
      <c r="G672" s="30">
        <v>27</v>
      </c>
      <c r="H672" s="30">
        <v>675</v>
      </c>
      <c r="I672" s="30">
        <f t="shared" si="18"/>
        <v>16200</v>
      </c>
      <c r="J672" s="33">
        <f t="shared" si="19"/>
        <v>61.728395061728399</v>
      </c>
    </row>
    <row r="673" spans="6:10" ht="15">
      <c r="F673" s="30">
        <v>10</v>
      </c>
      <c r="G673" s="30">
        <v>28</v>
      </c>
      <c r="H673" s="30">
        <v>700</v>
      </c>
      <c r="I673" s="30">
        <f t="shared" si="18"/>
        <v>16800</v>
      </c>
      <c r="J673" s="33">
        <f t="shared" si="19"/>
        <v>59.523809523809526</v>
      </c>
    </row>
    <row r="674" spans="6:10" ht="15">
      <c r="F674" s="30">
        <v>10</v>
      </c>
      <c r="G674" s="30">
        <v>29</v>
      </c>
      <c r="H674" s="30">
        <v>725</v>
      </c>
      <c r="I674" s="30">
        <f t="shared" si="18"/>
        <v>17400</v>
      </c>
      <c r="J674" s="33">
        <f t="shared" si="19"/>
        <v>57.47126436781609</v>
      </c>
    </row>
    <row r="675" spans="6:10" ht="15">
      <c r="F675" s="30">
        <v>10</v>
      </c>
      <c r="G675" s="30">
        <v>30</v>
      </c>
      <c r="H675" s="30">
        <v>750</v>
      </c>
      <c r="I675" s="30">
        <f t="shared" si="18"/>
        <v>18000</v>
      </c>
      <c r="J675" s="33">
        <f t="shared" si="19"/>
        <v>55.555555555555557</v>
      </c>
    </row>
    <row r="676" spans="6:10" ht="15">
      <c r="F676" s="30">
        <v>10</v>
      </c>
      <c r="G676" s="30">
        <v>31</v>
      </c>
      <c r="H676" s="30">
        <v>775</v>
      </c>
      <c r="I676" s="30">
        <f t="shared" si="18"/>
        <v>18600</v>
      </c>
      <c r="J676" s="33">
        <f t="shared" si="19"/>
        <v>53.763440860215056</v>
      </c>
    </row>
    <row r="677" spans="6:10" ht="15">
      <c r="F677" s="30">
        <v>10</v>
      </c>
      <c r="G677" s="30">
        <v>32</v>
      </c>
      <c r="H677" s="30">
        <v>800</v>
      </c>
      <c r="I677" s="30">
        <f t="shared" si="18"/>
        <v>19200</v>
      </c>
      <c r="J677" s="33">
        <f t="shared" si="19"/>
        <v>52.083333333333336</v>
      </c>
    </row>
    <row r="678" spans="6:10" ht="15">
      <c r="F678" s="30">
        <v>10</v>
      </c>
      <c r="G678" s="30">
        <v>33</v>
      </c>
      <c r="H678" s="30">
        <v>825</v>
      </c>
      <c r="I678" s="30">
        <f t="shared" si="18"/>
        <v>19800</v>
      </c>
      <c r="J678" s="33">
        <f t="shared" si="19"/>
        <v>50.505050505050505</v>
      </c>
    </row>
    <row r="679" spans="6:10" ht="15">
      <c r="F679" s="30">
        <v>10</v>
      </c>
      <c r="G679" s="30">
        <v>34</v>
      </c>
      <c r="H679" s="30">
        <v>850</v>
      </c>
      <c r="I679" s="30">
        <f t="shared" si="18"/>
        <v>20400</v>
      </c>
      <c r="J679" s="33">
        <f t="shared" si="19"/>
        <v>49.019607843137251</v>
      </c>
    </row>
    <row r="680" spans="6:10" ht="15">
      <c r="F680" s="30">
        <v>10</v>
      </c>
      <c r="G680" s="30">
        <v>35</v>
      </c>
      <c r="H680" s="30">
        <v>875</v>
      </c>
      <c r="I680" s="30">
        <f t="shared" si="18"/>
        <v>21000</v>
      </c>
      <c r="J680" s="33">
        <f t="shared" si="19"/>
        <v>47.61904761904762</v>
      </c>
    </row>
    <row r="681" spans="6:10" ht="15">
      <c r="F681" s="30">
        <v>10</v>
      </c>
      <c r="G681" s="30">
        <v>36</v>
      </c>
      <c r="H681" s="30">
        <v>900</v>
      </c>
      <c r="I681" s="30">
        <f t="shared" si="18"/>
        <v>21600</v>
      </c>
      <c r="J681" s="33">
        <f t="shared" si="19"/>
        <v>46.296296296296291</v>
      </c>
    </row>
    <row r="682" spans="6:10" ht="15">
      <c r="F682" s="30">
        <v>10</v>
      </c>
      <c r="G682" s="30">
        <v>37</v>
      </c>
      <c r="H682" s="30">
        <v>925</v>
      </c>
      <c r="I682" s="30">
        <f t="shared" si="18"/>
        <v>22200</v>
      </c>
      <c r="J682" s="33">
        <f t="shared" si="19"/>
        <v>45.045045045045043</v>
      </c>
    </row>
    <row r="683" spans="6:10" ht="15">
      <c r="F683" s="30">
        <v>10</v>
      </c>
      <c r="G683" s="30">
        <v>38</v>
      </c>
      <c r="H683" s="30">
        <v>950</v>
      </c>
      <c r="I683" s="30">
        <f t="shared" si="18"/>
        <v>22800</v>
      </c>
      <c r="J683" s="33">
        <f t="shared" si="19"/>
        <v>43.859649122807014</v>
      </c>
    </row>
    <row r="684" spans="6:10" ht="15">
      <c r="F684" s="30">
        <v>10</v>
      </c>
      <c r="G684" s="30">
        <v>39</v>
      </c>
      <c r="H684" s="30">
        <v>975</v>
      </c>
      <c r="I684" s="30">
        <f t="shared" si="18"/>
        <v>23400</v>
      </c>
      <c r="J684" s="33">
        <f t="shared" si="19"/>
        <v>42.735042735042732</v>
      </c>
    </row>
    <row r="685" spans="6:10" ht="15">
      <c r="F685" s="30">
        <v>10</v>
      </c>
      <c r="G685" s="30">
        <v>40</v>
      </c>
      <c r="H685" s="30">
        <v>1000</v>
      </c>
      <c r="I685" s="30">
        <f t="shared" si="18"/>
        <v>24000</v>
      </c>
      <c r="J685" s="33">
        <f t="shared" si="19"/>
        <v>41.666666666666664</v>
      </c>
    </row>
    <row r="686" spans="6:10" ht="15">
      <c r="F686" s="30">
        <v>10</v>
      </c>
      <c r="G686" s="30">
        <v>41</v>
      </c>
      <c r="H686" s="30">
        <v>1025</v>
      </c>
      <c r="I686" s="30">
        <f t="shared" si="18"/>
        <v>24600</v>
      </c>
      <c r="J686" s="33">
        <f t="shared" si="19"/>
        <v>40.650406504065039</v>
      </c>
    </row>
    <row r="687" spans="6:10" ht="15">
      <c r="F687" s="30">
        <v>10</v>
      </c>
      <c r="G687" s="30">
        <v>42</v>
      </c>
      <c r="H687" s="30">
        <v>1050</v>
      </c>
      <c r="I687" s="30">
        <f t="shared" si="18"/>
        <v>25200</v>
      </c>
      <c r="J687" s="33">
        <f t="shared" si="19"/>
        <v>39.682539682539684</v>
      </c>
    </row>
    <row r="688" spans="6:10" ht="15">
      <c r="F688" s="30">
        <v>10</v>
      </c>
      <c r="G688" s="30">
        <v>43</v>
      </c>
      <c r="H688" s="30">
        <v>1075</v>
      </c>
      <c r="I688" s="30">
        <f t="shared" si="18"/>
        <v>25800</v>
      </c>
      <c r="J688" s="33">
        <f t="shared" si="19"/>
        <v>38.759689922480625</v>
      </c>
    </row>
    <row r="689" spans="6:10" ht="15">
      <c r="F689" s="30">
        <v>10</v>
      </c>
      <c r="G689" s="30">
        <v>44</v>
      </c>
      <c r="H689" s="30">
        <v>1100</v>
      </c>
      <c r="I689" s="30">
        <f t="shared" si="18"/>
        <v>26400</v>
      </c>
      <c r="J689" s="33">
        <f t="shared" si="19"/>
        <v>37.878787878787875</v>
      </c>
    </row>
    <row r="690" spans="6:10" ht="15">
      <c r="F690" s="30">
        <v>10</v>
      </c>
      <c r="G690" s="30">
        <v>45</v>
      </c>
      <c r="H690" s="30">
        <v>1125</v>
      </c>
      <c r="I690" s="30">
        <f t="shared" si="18"/>
        <v>27000</v>
      </c>
      <c r="J690" s="33">
        <f t="shared" si="19"/>
        <v>37.037037037037038</v>
      </c>
    </row>
    <row r="691" spans="6:10" ht="15">
      <c r="F691" s="30">
        <v>10</v>
      </c>
      <c r="G691" s="30">
        <v>46</v>
      </c>
      <c r="H691" s="30">
        <v>1150</v>
      </c>
      <c r="I691" s="30">
        <f t="shared" si="18"/>
        <v>27600</v>
      </c>
      <c r="J691" s="33">
        <f t="shared" si="19"/>
        <v>36.231884057971016</v>
      </c>
    </row>
    <row r="692" spans="6:10" ht="15">
      <c r="F692" s="30">
        <v>10</v>
      </c>
      <c r="G692" s="30">
        <v>47</v>
      </c>
      <c r="H692" s="30">
        <v>1175</v>
      </c>
      <c r="I692" s="30">
        <f t="shared" si="18"/>
        <v>28200</v>
      </c>
      <c r="J692" s="33">
        <f t="shared" si="19"/>
        <v>35.460992907801419</v>
      </c>
    </row>
    <row r="693" spans="6:10" ht="15">
      <c r="F693" s="30">
        <v>10</v>
      </c>
      <c r="G693" s="30">
        <v>48</v>
      </c>
      <c r="H693" s="30">
        <v>1200</v>
      </c>
      <c r="I693" s="30">
        <f t="shared" si="18"/>
        <v>28800</v>
      </c>
      <c r="J693" s="33">
        <f t="shared" si="19"/>
        <v>34.722222222222221</v>
      </c>
    </row>
    <row r="694" spans="6:10" ht="15">
      <c r="F694" s="30">
        <v>10</v>
      </c>
      <c r="G694" s="30">
        <v>49</v>
      </c>
      <c r="H694" s="30">
        <v>1225</v>
      </c>
      <c r="I694" s="30">
        <f t="shared" si="18"/>
        <v>29400</v>
      </c>
      <c r="J694" s="33">
        <f t="shared" si="19"/>
        <v>34.013605442176868</v>
      </c>
    </row>
    <row r="695" spans="6:10" ht="15">
      <c r="F695" s="30">
        <v>10</v>
      </c>
      <c r="G695" s="30">
        <v>50</v>
      </c>
      <c r="H695" s="30">
        <v>1250</v>
      </c>
      <c r="I695" s="30">
        <f t="shared" si="18"/>
        <v>30000</v>
      </c>
      <c r="J695" s="33">
        <f t="shared" si="19"/>
        <v>33.333333333333336</v>
      </c>
    </row>
    <row r="696" spans="6:10" ht="15">
      <c r="F696" s="30">
        <v>10</v>
      </c>
      <c r="G696" s="30">
        <v>51</v>
      </c>
      <c r="H696" s="30">
        <v>1275</v>
      </c>
      <c r="I696" s="30">
        <f t="shared" si="18"/>
        <v>30600</v>
      </c>
      <c r="J696" s="33">
        <f t="shared" si="19"/>
        <v>32.679738562091508</v>
      </c>
    </row>
    <row r="697" spans="6:10" ht="15">
      <c r="F697" s="30">
        <v>10</v>
      </c>
      <c r="G697" s="30">
        <v>52</v>
      </c>
      <c r="H697" s="30">
        <v>1300</v>
      </c>
      <c r="I697" s="30">
        <f t="shared" si="18"/>
        <v>31200</v>
      </c>
      <c r="J697" s="33">
        <f t="shared" si="19"/>
        <v>32.051282051282051</v>
      </c>
    </row>
    <row r="698" spans="6:10" ht="15">
      <c r="F698" s="30">
        <v>10</v>
      </c>
      <c r="G698" s="30">
        <v>53</v>
      </c>
      <c r="H698" s="30">
        <v>1325</v>
      </c>
      <c r="I698" s="30">
        <f t="shared" si="18"/>
        <v>31800</v>
      </c>
      <c r="J698" s="33">
        <f t="shared" si="19"/>
        <v>31.446540880503143</v>
      </c>
    </row>
    <row r="699" spans="6:10" ht="15">
      <c r="F699" s="30">
        <v>10</v>
      </c>
      <c r="G699" s="30">
        <v>54</v>
      </c>
      <c r="H699" s="30">
        <v>1350</v>
      </c>
      <c r="I699" s="30">
        <f t="shared" si="18"/>
        <v>32400</v>
      </c>
      <c r="J699" s="33">
        <f t="shared" si="19"/>
        <v>30.8641975308642</v>
      </c>
    </row>
    <row r="700" spans="6:10" ht="15">
      <c r="F700" s="30">
        <v>10</v>
      </c>
      <c r="G700" s="30">
        <v>55</v>
      </c>
      <c r="H700" s="30">
        <v>1375</v>
      </c>
      <c r="I700" s="30">
        <f t="shared" si="18"/>
        <v>33000</v>
      </c>
      <c r="J700" s="33">
        <f t="shared" si="19"/>
        <v>30.303030303030301</v>
      </c>
    </row>
    <row r="701" spans="6:10" ht="15">
      <c r="F701" s="30">
        <v>10</v>
      </c>
      <c r="G701" s="30">
        <v>56</v>
      </c>
      <c r="H701" s="30">
        <v>1400</v>
      </c>
      <c r="I701" s="30">
        <f t="shared" si="18"/>
        <v>33600</v>
      </c>
      <c r="J701" s="33">
        <f t="shared" si="19"/>
        <v>29.761904761904763</v>
      </c>
    </row>
    <row r="702" spans="6:10" ht="15">
      <c r="F702" s="30">
        <v>10</v>
      </c>
      <c r="G702" s="30">
        <v>57</v>
      </c>
      <c r="H702" s="30">
        <v>1425</v>
      </c>
      <c r="I702" s="30">
        <f t="shared" si="18"/>
        <v>34200</v>
      </c>
      <c r="J702" s="33">
        <f t="shared" si="19"/>
        <v>29.239766081871345</v>
      </c>
    </row>
    <row r="703" spans="6:10" ht="15">
      <c r="F703" s="30">
        <v>10</v>
      </c>
      <c r="G703" s="30">
        <v>58</v>
      </c>
      <c r="H703" s="30">
        <v>1450</v>
      </c>
      <c r="I703" s="30">
        <f t="shared" si="18"/>
        <v>34800</v>
      </c>
      <c r="J703" s="33">
        <f t="shared" si="19"/>
        <v>28.735632183908045</v>
      </c>
    </row>
    <row r="704" spans="6:10" ht="15">
      <c r="F704" s="30">
        <v>10</v>
      </c>
      <c r="G704" s="30">
        <v>59</v>
      </c>
      <c r="H704" s="30">
        <v>1475</v>
      </c>
      <c r="I704" s="30">
        <f t="shared" si="18"/>
        <v>35400</v>
      </c>
      <c r="J704" s="33">
        <f t="shared" si="19"/>
        <v>28.248587570621467</v>
      </c>
    </row>
    <row r="705" spans="6:10" ht="15">
      <c r="F705" s="30">
        <v>10</v>
      </c>
      <c r="G705" s="30">
        <v>60</v>
      </c>
      <c r="H705" s="30">
        <v>1500</v>
      </c>
      <c r="I705" s="30">
        <f t="shared" si="18"/>
        <v>36000</v>
      </c>
      <c r="J705" s="33">
        <f t="shared" si="19"/>
        <v>27.777777777777779</v>
      </c>
    </row>
    <row r="706" spans="6:10" ht="15">
      <c r="F706" s="30">
        <v>10</v>
      </c>
      <c r="G706" s="30">
        <v>61</v>
      </c>
      <c r="H706" s="30">
        <v>1525</v>
      </c>
      <c r="I706" s="30">
        <f t="shared" si="18"/>
        <v>36600</v>
      </c>
      <c r="J706" s="33">
        <f t="shared" si="19"/>
        <v>27.3224043715847</v>
      </c>
    </row>
    <row r="707" spans="6:10" ht="15">
      <c r="F707" s="30">
        <v>10</v>
      </c>
      <c r="G707" s="30">
        <v>62</v>
      </c>
      <c r="H707" s="30">
        <v>1550</v>
      </c>
      <c r="I707" s="30">
        <f t="shared" si="18"/>
        <v>37200</v>
      </c>
      <c r="J707" s="33">
        <f t="shared" si="19"/>
        <v>26.881720430107528</v>
      </c>
    </row>
    <row r="708" spans="6:10" ht="15">
      <c r="F708" s="30">
        <v>10</v>
      </c>
      <c r="G708" s="30">
        <v>63</v>
      </c>
      <c r="H708" s="30">
        <v>1575</v>
      </c>
      <c r="I708" s="30">
        <f t="shared" si="18"/>
        <v>37800</v>
      </c>
      <c r="J708" s="33">
        <f t="shared" si="19"/>
        <v>26.455026455026456</v>
      </c>
    </row>
    <row r="709" spans="6:10" ht="15">
      <c r="F709" s="30">
        <v>10</v>
      </c>
      <c r="G709" s="30">
        <v>64</v>
      </c>
      <c r="H709" s="30">
        <v>1600</v>
      </c>
      <c r="I709" s="30">
        <f t="shared" si="18"/>
        <v>38400</v>
      </c>
      <c r="J709" s="33">
        <f t="shared" si="19"/>
        <v>26.041666666666668</v>
      </c>
    </row>
    <row r="710" spans="6:10" ht="15">
      <c r="F710" s="30">
        <v>11</v>
      </c>
      <c r="G710" s="30">
        <v>1</v>
      </c>
      <c r="H710" s="30">
        <v>25</v>
      </c>
      <c r="I710" s="30">
        <f t="shared" si="18"/>
        <v>625</v>
      </c>
      <c r="J710" s="33">
        <f t="shared" si="19"/>
        <v>1600</v>
      </c>
    </row>
    <row r="711" spans="6:10" ht="15">
      <c r="F711" s="30">
        <v>11</v>
      </c>
      <c r="G711" s="30">
        <v>2</v>
      </c>
      <c r="H711" s="30">
        <v>50</v>
      </c>
      <c r="I711" s="30">
        <f t="shared" ref="I711:I774" si="20">(14+F711)*H711</f>
        <v>1250</v>
      </c>
      <c r="J711" s="33">
        <f t="shared" ref="J711:J774" si="21">(1/I711)*1000000</f>
        <v>800</v>
      </c>
    </row>
    <row r="712" spans="6:10" ht="15">
      <c r="F712" s="30">
        <v>11</v>
      </c>
      <c r="G712" s="30">
        <v>3</v>
      </c>
      <c r="H712" s="30">
        <v>75</v>
      </c>
      <c r="I712" s="30">
        <f t="shared" si="20"/>
        <v>1875</v>
      </c>
      <c r="J712" s="33">
        <f t="shared" si="21"/>
        <v>533.33333333333337</v>
      </c>
    </row>
    <row r="713" spans="6:10" ht="15">
      <c r="F713" s="30">
        <v>11</v>
      </c>
      <c r="G713" s="30">
        <v>4</v>
      </c>
      <c r="H713" s="30">
        <v>100</v>
      </c>
      <c r="I713" s="30">
        <f t="shared" si="20"/>
        <v>2500</v>
      </c>
      <c r="J713" s="33">
        <f t="shared" si="21"/>
        <v>400</v>
      </c>
    </row>
    <row r="714" spans="6:10" ht="15">
      <c r="F714" s="30">
        <v>11</v>
      </c>
      <c r="G714" s="30">
        <v>5</v>
      </c>
      <c r="H714" s="30">
        <v>125</v>
      </c>
      <c r="I714" s="30">
        <f t="shared" si="20"/>
        <v>3125</v>
      </c>
      <c r="J714" s="33">
        <f t="shared" si="21"/>
        <v>320</v>
      </c>
    </row>
    <row r="715" spans="6:10" ht="15">
      <c r="F715" s="30">
        <v>11</v>
      </c>
      <c r="G715" s="30">
        <v>6</v>
      </c>
      <c r="H715" s="30">
        <v>150</v>
      </c>
      <c r="I715" s="30">
        <f t="shared" si="20"/>
        <v>3750</v>
      </c>
      <c r="J715" s="33">
        <f t="shared" si="21"/>
        <v>266.66666666666669</v>
      </c>
    </row>
    <row r="716" spans="6:10" ht="15">
      <c r="F716" s="30">
        <v>11</v>
      </c>
      <c r="G716" s="30">
        <v>7</v>
      </c>
      <c r="H716" s="30">
        <v>175</v>
      </c>
      <c r="I716" s="30">
        <f t="shared" si="20"/>
        <v>4375</v>
      </c>
      <c r="J716" s="33">
        <f t="shared" si="21"/>
        <v>228.57142857142856</v>
      </c>
    </row>
    <row r="717" spans="6:10" ht="15">
      <c r="F717" s="30">
        <v>11</v>
      </c>
      <c r="G717" s="30">
        <v>8</v>
      </c>
      <c r="H717" s="30">
        <v>200</v>
      </c>
      <c r="I717" s="30">
        <f t="shared" si="20"/>
        <v>5000</v>
      </c>
      <c r="J717" s="33">
        <f t="shared" si="21"/>
        <v>200</v>
      </c>
    </row>
    <row r="718" spans="6:10" ht="15">
      <c r="F718" s="30">
        <v>11</v>
      </c>
      <c r="G718" s="30">
        <v>9</v>
      </c>
      <c r="H718" s="30">
        <v>225</v>
      </c>
      <c r="I718" s="30">
        <f t="shared" si="20"/>
        <v>5625</v>
      </c>
      <c r="J718" s="33">
        <f t="shared" si="21"/>
        <v>177.7777777777778</v>
      </c>
    </row>
    <row r="719" spans="6:10" ht="15">
      <c r="F719" s="30">
        <v>11</v>
      </c>
      <c r="G719" s="30">
        <v>10</v>
      </c>
      <c r="H719" s="30">
        <v>250</v>
      </c>
      <c r="I719" s="30">
        <f t="shared" si="20"/>
        <v>6250</v>
      </c>
      <c r="J719" s="33">
        <f t="shared" si="21"/>
        <v>160</v>
      </c>
    </row>
    <row r="720" spans="6:10" ht="15">
      <c r="F720" s="30">
        <v>11</v>
      </c>
      <c r="G720" s="30">
        <v>11</v>
      </c>
      <c r="H720" s="30">
        <v>275</v>
      </c>
      <c r="I720" s="30">
        <f t="shared" si="20"/>
        <v>6875</v>
      </c>
      <c r="J720" s="33">
        <f t="shared" si="21"/>
        <v>145.45454545454547</v>
      </c>
    </row>
    <row r="721" spans="6:10" ht="15">
      <c r="F721" s="30">
        <v>11</v>
      </c>
      <c r="G721" s="30">
        <v>12</v>
      </c>
      <c r="H721" s="30">
        <v>300</v>
      </c>
      <c r="I721" s="30">
        <f t="shared" si="20"/>
        <v>7500</v>
      </c>
      <c r="J721" s="33">
        <f t="shared" si="21"/>
        <v>133.33333333333334</v>
      </c>
    </row>
    <row r="722" spans="6:10" ht="15">
      <c r="F722" s="30">
        <v>11</v>
      </c>
      <c r="G722" s="30">
        <v>13</v>
      </c>
      <c r="H722" s="30">
        <v>325</v>
      </c>
      <c r="I722" s="30">
        <f t="shared" si="20"/>
        <v>8125</v>
      </c>
      <c r="J722" s="33">
        <f t="shared" si="21"/>
        <v>123.07692307692307</v>
      </c>
    </row>
    <row r="723" spans="6:10" ht="15">
      <c r="F723" s="30">
        <v>11</v>
      </c>
      <c r="G723" s="30">
        <v>14</v>
      </c>
      <c r="H723" s="30">
        <v>350</v>
      </c>
      <c r="I723" s="30">
        <f t="shared" si="20"/>
        <v>8750</v>
      </c>
      <c r="J723" s="33">
        <f t="shared" si="21"/>
        <v>114.28571428571428</v>
      </c>
    </row>
    <row r="724" spans="6:10" ht="15">
      <c r="F724" s="30">
        <v>11</v>
      </c>
      <c r="G724" s="30">
        <v>15</v>
      </c>
      <c r="H724" s="30">
        <v>375</v>
      </c>
      <c r="I724" s="30">
        <f t="shared" si="20"/>
        <v>9375</v>
      </c>
      <c r="J724" s="33">
        <f t="shared" si="21"/>
        <v>106.66666666666667</v>
      </c>
    </row>
    <row r="725" spans="6:10" ht="15">
      <c r="F725" s="30">
        <v>11</v>
      </c>
      <c r="G725" s="30">
        <v>16</v>
      </c>
      <c r="H725" s="30">
        <v>400</v>
      </c>
      <c r="I725" s="30">
        <f t="shared" si="20"/>
        <v>10000</v>
      </c>
      <c r="J725" s="33">
        <f t="shared" si="21"/>
        <v>100</v>
      </c>
    </row>
    <row r="726" spans="6:10" ht="15">
      <c r="F726" s="30">
        <v>11</v>
      </c>
      <c r="G726" s="30">
        <v>17</v>
      </c>
      <c r="H726" s="30">
        <v>425</v>
      </c>
      <c r="I726" s="30">
        <f t="shared" si="20"/>
        <v>10625</v>
      </c>
      <c r="J726" s="33">
        <f t="shared" si="21"/>
        <v>94.117647058823536</v>
      </c>
    </row>
    <row r="727" spans="6:10" ht="15">
      <c r="F727" s="30">
        <v>11</v>
      </c>
      <c r="G727" s="30">
        <v>18</v>
      </c>
      <c r="H727" s="30">
        <v>450</v>
      </c>
      <c r="I727" s="30">
        <f t="shared" si="20"/>
        <v>11250</v>
      </c>
      <c r="J727" s="33">
        <f t="shared" si="21"/>
        <v>88.8888888888889</v>
      </c>
    </row>
    <row r="728" spans="6:10" ht="15">
      <c r="F728" s="30">
        <v>11</v>
      </c>
      <c r="G728" s="30">
        <v>19</v>
      </c>
      <c r="H728" s="30">
        <v>475</v>
      </c>
      <c r="I728" s="30">
        <f t="shared" si="20"/>
        <v>11875</v>
      </c>
      <c r="J728" s="33">
        <f t="shared" si="21"/>
        <v>84.21052631578948</v>
      </c>
    </row>
    <row r="729" spans="6:10" ht="15">
      <c r="F729" s="30">
        <v>11</v>
      </c>
      <c r="G729" s="30">
        <v>20</v>
      </c>
      <c r="H729" s="30">
        <v>500</v>
      </c>
      <c r="I729" s="30">
        <f t="shared" si="20"/>
        <v>12500</v>
      </c>
      <c r="J729" s="33">
        <f t="shared" si="21"/>
        <v>80</v>
      </c>
    </row>
    <row r="730" spans="6:10" ht="15">
      <c r="F730" s="30">
        <v>11</v>
      </c>
      <c r="G730" s="30">
        <v>21</v>
      </c>
      <c r="H730" s="30">
        <v>525</v>
      </c>
      <c r="I730" s="30">
        <f t="shared" si="20"/>
        <v>13125</v>
      </c>
      <c r="J730" s="33">
        <f t="shared" si="21"/>
        <v>76.19047619047619</v>
      </c>
    </row>
    <row r="731" spans="6:10" ht="15">
      <c r="F731" s="30">
        <v>11</v>
      </c>
      <c r="G731" s="30">
        <v>22</v>
      </c>
      <c r="H731" s="30">
        <v>550</v>
      </c>
      <c r="I731" s="30">
        <f t="shared" si="20"/>
        <v>13750</v>
      </c>
      <c r="J731" s="33">
        <f t="shared" si="21"/>
        <v>72.727272727272734</v>
      </c>
    </row>
    <row r="732" spans="6:10" ht="15">
      <c r="F732" s="30">
        <v>11</v>
      </c>
      <c r="G732" s="30">
        <v>23</v>
      </c>
      <c r="H732" s="30">
        <v>575</v>
      </c>
      <c r="I732" s="30">
        <f t="shared" si="20"/>
        <v>14375</v>
      </c>
      <c r="J732" s="33">
        <f t="shared" si="21"/>
        <v>69.565217391304344</v>
      </c>
    </row>
    <row r="733" spans="6:10" ht="15">
      <c r="F733" s="30">
        <v>11</v>
      </c>
      <c r="G733" s="30">
        <v>24</v>
      </c>
      <c r="H733" s="30">
        <v>600</v>
      </c>
      <c r="I733" s="30">
        <f t="shared" si="20"/>
        <v>15000</v>
      </c>
      <c r="J733" s="33">
        <f t="shared" si="21"/>
        <v>66.666666666666671</v>
      </c>
    </row>
    <row r="734" spans="6:10" ht="15">
      <c r="F734" s="30">
        <v>11</v>
      </c>
      <c r="G734" s="30">
        <v>25</v>
      </c>
      <c r="H734" s="30">
        <v>625</v>
      </c>
      <c r="I734" s="30">
        <f t="shared" si="20"/>
        <v>15625</v>
      </c>
      <c r="J734" s="33">
        <f t="shared" si="21"/>
        <v>64</v>
      </c>
    </row>
    <row r="735" spans="6:10" ht="15">
      <c r="F735" s="30">
        <v>11</v>
      </c>
      <c r="G735" s="30">
        <v>26</v>
      </c>
      <c r="H735" s="30">
        <v>650</v>
      </c>
      <c r="I735" s="30">
        <f t="shared" si="20"/>
        <v>16250</v>
      </c>
      <c r="J735" s="33">
        <f t="shared" si="21"/>
        <v>61.538461538461533</v>
      </c>
    </row>
    <row r="736" spans="6:10" ht="15">
      <c r="F736" s="30">
        <v>11</v>
      </c>
      <c r="G736" s="30">
        <v>27</v>
      </c>
      <c r="H736" s="30">
        <v>675</v>
      </c>
      <c r="I736" s="30">
        <f t="shared" si="20"/>
        <v>16875</v>
      </c>
      <c r="J736" s="33">
        <f t="shared" si="21"/>
        <v>59.25925925925926</v>
      </c>
    </row>
    <row r="737" spans="6:10" ht="15">
      <c r="F737" s="30">
        <v>11</v>
      </c>
      <c r="G737" s="30">
        <v>28</v>
      </c>
      <c r="H737" s="30">
        <v>700</v>
      </c>
      <c r="I737" s="30">
        <f t="shared" si="20"/>
        <v>17500</v>
      </c>
      <c r="J737" s="33">
        <f t="shared" si="21"/>
        <v>57.142857142857139</v>
      </c>
    </row>
    <row r="738" spans="6:10" ht="15">
      <c r="F738" s="30">
        <v>11</v>
      </c>
      <c r="G738" s="30">
        <v>29</v>
      </c>
      <c r="H738" s="30">
        <v>725</v>
      </c>
      <c r="I738" s="30">
        <f t="shared" si="20"/>
        <v>18125</v>
      </c>
      <c r="J738" s="33">
        <f t="shared" si="21"/>
        <v>55.172413793103445</v>
      </c>
    </row>
    <row r="739" spans="6:10" ht="15">
      <c r="F739" s="30">
        <v>11</v>
      </c>
      <c r="G739" s="30">
        <v>30</v>
      </c>
      <c r="H739" s="30">
        <v>750</v>
      </c>
      <c r="I739" s="30">
        <f t="shared" si="20"/>
        <v>18750</v>
      </c>
      <c r="J739" s="33">
        <f t="shared" si="21"/>
        <v>53.333333333333336</v>
      </c>
    </row>
    <row r="740" spans="6:10" ht="15">
      <c r="F740" s="30">
        <v>11</v>
      </c>
      <c r="G740" s="30">
        <v>31</v>
      </c>
      <c r="H740" s="30">
        <v>775</v>
      </c>
      <c r="I740" s="30">
        <f t="shared" si="20"/>
        <v>19375</v>
      </c>
      <c r="J740" s="33">
        <f t="shared" si="21"/>
        <v>51.612903225806448</v>
      </c>
    </row>
    <row r="741" spans="6:10" ht="15">
      <c r="F741" s="30">
        <v>11</v>
      </c>
      <c r="G741" s="30">
        <v>32</v>
      </c>
      <c r="H741" s="30">
        <v>800</v>
      </c>
      <c r="I741" s="30">
        <f t="shared" si="20"/>
        <v>20000</v>
      </c>
      <c r="J741" s="33">
        <f t="shared" si="21"/>
        <v>50</v>
      </c>
    </row>
    <row r="742" spans="6:10" ht="15">
      <c r="F742" s="30">
        <v>11</v>
      </c>
      <c r="G742" s="30">
        <v>33</v>
      </c>
      <c r="H742" s="30">
        <v>825</v>
      </c>
      <c r="I742" s="30">
        <f t="shared" si="20"/>
        <v>20625</v>
      </c>
      <c r="J742" s="33">
        <f t="shared" si="21"/>
        <v>48.484848484848484</v>
      </c>
    </row>
    <row r="743" spans="6:10" ht="15">
      <c r="F743" s="30">
        <v>11</v>
      </c>
      <c r="G743" s="30">
        <v>34</v>
      </c>
      <c r="H743" s="30">
        <v>850</v>
      </c>
      <c r="I743" s="30">
        <f t="shared" si="20"/>
        <v>21250</v>
      </c>
      <c r="J743" s="33">
        <f t="shared" si="21"/>
        <v>47.058823529411768</v>
      </c>
    </row>
    <row r="744" spans="6:10" ht="15">
      <c r="F744" s="30">
        <v>11</v>
      </c>
      <c r="G744" s="30">
        <v>35</v>
      </c>
      <c r="H744" s="30">
        <v>875</v>
      </c>
      <c r="I744" s="30">
        <f t="shared" si="20"/>
        <v>21875</v>
      </c>
      <c r="J744" s="33">
        <f t="shared" si="21"/>
        <v>45.714285714285715</v>
      </c>
    </row>
    <row r="745" spans="6:10" ht="15">
      <c r="F745" s="30">
        <v>11</v>
      </c>
      <c r="G745" s="30">
        <v>36</v>
      </c>
      <c r="H745" s="30">
        <v>900</v>
      </c>
      <c r="I745" s="30">
        <f t="shared" si="20"/>
        <v>22500</v>
      </c>
      <c r="J745" s="33">
        <f t="shared" si="21"/>
        <v>44.44444444444445</v>
      </c>
    </row>
    <row r="746" spans="6:10" ht="15">
      <c r="F746" s="30">
        <v>11</v>
      </c>
      <c r="G746" s="30">
        <v>37</v>
      </c>
      <c r="H746" s="30">
        <v>925</v>
      </c>
      <c r="I746" s="30">
        <f t="shared" si="20"/>
        <v>23125</v>
      </c>
      <c r="J746" s="33">
        <f t="shared" si="21"/>
        <v>43.243243243243242</v>
      </c>
    </row>
    <row r="747" spans="6:10" ht="15">
      <c r="F747" s="30">
        <v>11</v>
      </c>
      <c r="G747" s="30">
        <v>38</v>
      </c>
      <c r="H747" s="30">
        <v>950</v>
      </c>
      <c r="I747" s="30">
        <f t="shared" si="20"/>
        <v>23750</v>
      </c>
      <c r="J747" s="33">
        <f t="shared" si="21"/>
        <v>42.10526315789474</v>
      </c>
    </row>
    <row r="748" spans="6:10" ht="15">
      <c r="F748" s="30">
        <v>11</v>
      </c>
      <c r="G748" s="30">
        <v>39</v>
      </c>
      <c r="H748" s="30">
        <v>975</v>
      </c>
      <c r="I748" s="30">
        <f t="shared" si="20"/>
        <v>24375</v>
      </c>
      <c r="J748" s="33">
        <f t="shared" si="21"/>
        <v>41.025641025641022</v>
      </c>
    </row>
    <row r="749" spans="6:10" ht="15">
      <c r="F749" s="30">
        <v>11</v>
      </c>
      <c r="G749" s="30">
        <v>40</v>
      </c>
      <c r="H749" s="30">
        <v>1000</v>
      </c>
      <c r="I749" s="30">
        <f t="shared" si="20"/>
        <v>25000</v>
      </c>
      <c r="J749" s="33">
        <f t="shared" si="21"/>
        <v>40</v>
      </c>
    </row>
    <row r="750" spans="6:10" ht="15">
      <c r="F750" s="30">
        <v>11</v>
      </c>
      <c r="G750" s="30">
        <v>41</v>
      </c>
      <c r="H750" s="30">
        <v>1025</v>
      </c>
      <c r="I750" s="30">
        <f t="shared" si="20"/>
        <v>25625</v>
      </c>
      <c r="J750" s="33">
        <f t="shared" si="21"/>
        <v>39.024390243902438</v>
      </c>
    </row>
    <row r="751" spans="6:10" ht="15">
      <c r="F751" s="30">
        <v>11</v>
      </c>
      <c r="G751" s="30">
        <v>42</v>
      </c>
      <c r="H751" s="30">
        <v>1050</v>
      </c>
      <c r="I751" s="30">
        <f t="shared" si="20"/>
        <v>26250</v>
      </c>
      <c r="J751" s="33">
        <f t="shared" si="21"/>
        <v>38.095238095238095</v>
      </c>
    </row>
    <row r="752" spans="6:10" ht="15">
      <c r="F752" s="30">
        <v>11</v>
      </c>
      <c r="G752" s="30">
        <v>43</v>
      </c>
      <c r="H752" s="30">
        <v>1075</v>
      </c>
      <c r="I752" s="30">
        <f t="shared" si="20"/>
        <v>26875</v>
      </c>
      <c r="J752" s="33">
        <f t="shared" si="21"/>
        <v>37.209302325581397</v>
      </c>
    </row>
    <row r="753" spans="6:10" ht="15">
      <c r="F753" s="30">
        <v>11</v>
      </c>
      <c r="G753" s="30">
        <v>44</v>
      </c>
      <c r="H753" s="30">
        <v>1100</v>
      </c>
      <c r="I753" s="30">
        <f t="shared" si="20"/>
        <v>27500</v>
      </c>
      <c r="J753" s="33">
        <f t="shared" si="21"/>
        <v>36.363636363636367</v>
      </c>
    </row>
    <row r="754" spans="6:10" ht="15">
      <c r="F754" s="30">
        <v>11</v>
      </c>
      <c r="G754" s="30">
        <v>45</v>
      </c>
      <c r="H754" s="30">
        <v>1125</v>
      </c>
      <c r="I754" s="30">
        <f t="shared" si="20"/>
        <v>28125</v>
      </c>
      <c r="J754" s="33">
        <f t="shared" si="21"/>
        <v>35.55555555555555</v>
      </c>
    </row>
    <row r="755" spans="6:10" ht="15">
      <c r="F755" s="30">
        <v>11</v>
      </c>
      <c r="G755" s="30">
        <v>46</v>
      </c>
      <c r="H755" s="30">
        <v>1150</v>
      </c>
      <c r="I755" s="30">
        <f t="shared" si="20"/>
        <v>28750</v>
      </c>
      <c r="J755" s="33">
        <f t="shared" si="21"/>
        <v>34.782608695652172</v>
      </c>
    </row>
    <row r="756" spans="6:10" ht="15">
      <c r="F756" s="30">
        <v>11</v>
      </c>
      <c r="G756" s="30">
        <v>47</v>
      </c>
      <c r="H756" s="30">
        <v>1175</v>
      </c>
      <c r="I756" s="30">
        <f t="shared" si="20"/>
        <v>29375</v>
      </c>
      <c r="J756" s="33">
        <f t="shared" si="21"/>
        <v>34.042553191489368</v>
      </c>
    </row>
    <row r="757" spans="6:10" ht="15">
      <c r="F757" s="30">
        <v>11</v>
      </c>
      <c r="G757" s="30">
        <v>48</v>
      </c>
      <c r="H757" s="30">
        <v>1200</v>
      </c>
      <c r="I757" s="30">
        <f t="shared" si="20"/>
        <v>30000</v>
      </c>
      <c r="J757" s="33">
        <f t="shared" si="21"/>
        <v>33.333333333333336</v>
      </c>
    </row>
    <row r="758" spans="6:10" ht="15">
      <c r="F758" s="30">
        <v>11</v>
      </c>
      <c r="G758" s="30">
        <v>49</v>
      </c>
      <c r="H758" s="30">
        <v>1225</v>
      </c>
      <c r="I758" s="30">
        <f t="shared" si="20"/>
        <v>30625</v>
      </c>
      <c r="J758" s="33">
        <f t="shared" si="21"/>
        <v>32.653061224489797</v>
      </c>
    </row>
    <row r="759" spans="6:10" ht="15">
      <c r="F759" s="30">
        <v>11</v>
      </c>
      <c r="G759" s="30">
        <v>50</v>
      </c>
      <c r="H759" s="30">
        <v>1250</v>
      </c>
      <c r="I759" s="30">
        <f t="shared" si="20"/>
        <v>31250</v>
      </c>
      <c r="J759" s="33">
        <f t="shared" si="21"/>
        <v>32</v>
      </c>
    </row>
    <row r="760" spans="6:10" ht="15">
      <c r="F760" s="30">
        <v>11</v>
      </c>
      <c r="G760" s="30">
        <v>51</v>
      </c>
      <c r="H760" s="30">
        <v>1275</v>
      </c>
      <c r="I760" s="30">
        <f t="shared" si="20"/>
        <v>31875</v>
      </c>
      <c r="J760" s="33">
        <f t="shared" si="21"/>
        <v>31.372549019607842</v>
      </c>
    </row>
    <row r="761" spans="6:10" ht="15">
      <c r="F761" s="30">
        <v>11</v>
      </c>
      <c r="G761" s="30">
        <v>52</v>
      </c>
      <c r="H761" s="30">
        <v>1300</v>
      </c>
      <c r="I761" s="30">
        <f t="shared" si="20"/>
        <v>32500</v>
      </c>
      <c r="J761" s="33">
        <f t="shared" si="21"/>
        <v>30.769230769230766</v>
      </c>
    </row>
    <row r="762" spans="6:10" ht="15">
      <c r="F762" s="30">
        <v>11</v>
      </c>
      <c r="G762" s="30">
        <v>53</v>
      </c>
      <c r="H762" s="30">
        <v>1325</v>
      </c>
      <c r="I762" s="30">
        <f t="shared" si="20"/>
        <v>33125</v>
      </c>
      <c r="J762" s="33">
        <f t="shared" si="21"/>
        <v>30.188679245283019</v>
      </c>
    </row>
    <row r="763" spans="6:10" ht="15">
      <c r="F763" s="30">
        <v>11</v>
      </c>
      <c r="G763" s="30">
        <v>54</v>
      </c>
      <c r="H763" s="30">
        <v>1350</v>
      </c>
      <c r="I763" s="30">
        <f t="shared" si="20"/>
        <v>33750</v>
      </c>
      <c r="J763" s="33">
        <f t="shared" si="21"/>
        <v>29.62962962962963</v>
      </c>
    </row>
    <row r="764" spans="6:10" ht="15">
      <c r="F764" s="30">
        <v>11</v>
      </c>
      <c r="G764" s="30">
        <v>55</v>
      </c>
      <c r="H764" s="30">
        <v>1375</v>
      </c>
      <c r="I764" s="30">
        <f t="shared" si="20"/>
        <v>34375</v>
      </c>
      <c r="J764" s="33">
        <f t="shared" si="21"/>
        <v>29.09090909090909</v>
      </c>
    </row>
    <row r="765" spans="6:10" ht="15">
      <c r="F765" s="30">
        <v>11</v>
      </c>
      <c r="G765" s="30">
        <v>56</v>
      </c>
      <c r="H765" s="30">
        <v>1400</v>
      </c>
      <c r="I765" s="30">
        <f t="shared" si="20"/>
        <v>35000</v>
      </c>
      <c r="J765" s="33">
        <f t="shared" si="21"/>
        <v>28.571428571428569</v>
      </c>
    </row>
    <row r="766" spans="6:10" ht="15">
      <c r="F766" s="30">
        <v>11</v>
      </c>
      <c r="G766" s="30">
        <v>57</v>
      </c>
      <c r="H766" s="30">
        <v>1425</v>
      </c>
      <c r="I766" s="30">
        <f t="shared" si="20"/>
        <v>35625</v>
      </c>
      <c r="J766" s="33">
        <f t="shared" si="21"/>
        <v>28.070175438596493</v>
      </c>
    </row>
    <row r="767" spans="6:10" ht="15">
      <c r="F767" s="30">
        <v>11</v>
      </c>
      <c r="G767" s="30">
        <v>58</v>
      </c>
      <c r="H767" s="30">
        <v>1450</v>
      </c>
      <c r="I767" s="30">
        <f t="shared" si="20"/>
        <v>36250</v>
      </c>
      <c r="J767" s="33">
        <f t="shared" si="21"/>
        <v>27.586206896551722</v>
      </c>
    </row>
    <row r="768" spans="6:10" ht="15">
      <c r="F768" s="30">
        <v>11</v>
      </c>
      <c r="G768" s="30">
        <v>59</v>
      </c>
      <c r="H768" s="30">
        <v>1475</v>
      </c>
      <c r="I768" s="30">
        <f t="shared" si="20"/>
        <v>36875</v>
      </c>
      <c r="J768" s="33">
        <f t="shared" si="21"/>
        <v>27.118644067796609</v>
      </c>
    </row>
    <row r="769" spans="6:10" ht="15">
      <c r="F769" s="30">
        <v>11</v>
      </c>
      <c r="G769" s="30">
        <v>60</v>
      </c>
      <c r="H769" s="30">
        <v>1500</v>
      </c>
      <c r="I769" s="30">
        <f t="shared" si="20"/>
        <v>37500</v>
      </c>
      <c r="J769" s="33">
        <f t="shared" si="21"/>
        <v>26.666666666666668</v>
      </c>
    </row>
    <row r="770" spans="6:10" ht="15">
      <c r="F770" s="30">
        <v>11</v>
      </c>
      <c r="G770" s="30">
        <v>61</v>
      </c>
      <c r="H770" s="30">
        <v>1525</v>
      </c>
      <c r="I770" s="30">
        <f t="shared" si="20"/>
        <v>38125</v>
      </c>
      <c r="J770" s="33">
        <f t="shared" si="21"/>
        <v>26.229508196721309</v>
      </c>
    </row>
    <row r="771" spans="6:10" ht="15">
      <c r="F771" s="30">
        <v>11</v>
      </c>
      <c r="G771" s="30">
        <v>62</v>
      </c>
      <c r="H771" s="30">
        <v>1550</v>
      </c>
      <c r="I771" s="30">
        <f t="shared" si="20"/>
        <v>38750</v>
      </c>
      <c r="J771" s="33">
        <f t="shared" si="21"/>
        <v>25.806451612903224</v>
      </c>
    </row>
    <row r="772" spans="6:10" ht="15">
      <c r="F772" s="30">
        <v>11</v>
      </c>
      <c r="G772" s="30">
        <v>63</v>
      </c>
      <c r="H772" s="30">
        <v>1575</v>
      </c>
      <c r="I772" s="30">
        <f t="shared" si="20"/>
        <v>39375</v>
      </c>
      <c r="J772" s="33">
        <f t="shared" si="21"/>
        <v>25.396825396825395</v>
      </c>
    </row>
    <row r="773" spans="6:10" ht="15">
      <c r="F773" s="30">
        <v>11</v>
      </c>
      <c r="G773" s="30">
        <v>64</v>
      </c>
      <c r="H773" s="30">
        <v>1600</v>
      </c>
      <c r="I773" s="30">
        <f t="shared" si="20"/>
        <v>40000</v>
      </c>
      <c r="J773" s="35">
        <f t="shared" si="21"/>
        <v>25</v>
      </c>
    </row>
    <row r="774" spans="6:10" ht="15">
      <c r="F774" s="30">
        <v>12</v>
      </c>
      <c r="G774" s="30">
        <v>1</v>
      </c>
      <c r="H774" s="30">
        <v>25</v>
      </c>
      <c r="I774" s="30">
        <f t="shared" si="20"/>
        <v>650</v>
      </c>
      <c r="J774" s="33">
        <f t="shared" si="21"/>
        <v>1538.4615384615386</v>
      </c>
    </row>
    <row r="775" spans="6:10" ht="15">
      <c r="F775" s="30">
        <v>12</v>
      </c>
      <c r="G775" s="30">
        <v>2</v>
      </c>
      <c r="H775" s="30">
        <v>50</v>
      </c>
      <c r="I775" s="30">
        <f t="shared" ref="I775:I838" si="22">(14+F775)*H775</f>
        <v>1300</v>
      </c>
      <c r="J775" s="33">
        <f t="shared" ref="J775:J838" si="23">(1/I775)*1000000</f>
        <v>769.23076923076928</v>
      </c>
    </row>
    <row r="776" spans="6:10" ht="15">
      <c r="F776" s="30">
        <v>12</v>
      </c>
      <c r="G776" s="30">
        <v>3</v>
      </c>
      <c r="H776" s="30">
        <v>75</v>
      </c>
      <c r="I776" s="30">
        <f t="shared" si="22"/>
        <v>1950</v>
      </c>
      <c r="J776" s="33">
        <f t="shared" si="23"/>
        <v>512.82051282051282</v>
      </c>
    </row>
    <row r="777" spans="6:10" ht="15">
      <c r="F777" s="30">
        <v>12</v>
      </c>
      <c r="G777" s="30">
        <v>4</v>
      </c>
      <c r="H777" s="30">
        <v>100</v>
      </c>
      <c r="I777" s="30">
        <f t="shared" si="22"/>
        <v>2600</v>
      </c>
      <c r="J777" s="33">
        <f t="shared" si="23"/>
        <v>384.61538461538464</v>
      </c>
    </row>
    <row r="778" spans="6:10" ht="15">
      <c r="F778" s="30">
        <v>12</v>
      </c>
      <c r="G778" s="30">
        <v>5</v>
      </c>
      <c r="H778" s="30">
        <v>125</v>
      </c>
      <c r="I778" s="30">
        <f t="shared" si="22"/>
        <v>3250</v>
      </c>
      <c r="J778" s="33">
        <f t="shared" si="23"/>
        <v>307.69230769230768</v>
      </c>
    </row>
    <row r="779" spans="6:10" ht="15">
      <c r="F779" s="30">
        <v>12</v>
      </c>
      <c r="G779" s="30">
        <v>6</v>
      </c>
      <c r="H779" s="30">
        <v>150</v>
      </c>
      <c r="I779" s="30">
        <f t="shared" si="22"/>
        <v>3900</v>
      </c>
      <c r="J779" s="33">
        <f t="shared" si="23"/>
        <v>256.41025641025641</v>
      </c>
    </row>
    <row r="780" spans="6:10" ht="15">
      <c r="F780" s="30">
        <v>12</v>
      </c>
      <c r="G780" s="30">
        <v>7</v>
      </c>
      <c r="H780" s="30">
        <v>175</v>
      </c>
      <c r="I780" s="30">
        <f t="shared" si="22"/>
        <v>4550</v>
      </c>
      <c r="J780" s="33">
        <f t="shared" si="23"/>
        <v>219.78021978021977</v>
      </c>
    </row>
    <row r="781" spans="6:10" ht="15">
      <c r="F781" s="30">
        <v>12</v>
      </c>
      <c r="G781" s="30">
        <v>8</v>
      </c>
      <c r="H781" s="30">
        <v>200</v>
      </c>
      <c r="I781" s="30">
        <f t="shared" si="22"/>
        <v>5200</v>
      </c>
      <c r="J781" s="33">
        <f t="shared" si="23"/>
        <v>192.30769230769232</v>
      </c>
    </row>
    <row r="782" spans="6:10" ht="15">
      <c r="F782" s="30">
        <v>12</v>
      </c>
      <c r="G782" s="30">
        <v>9</v>
      </c>
      <c r="H782" s="30">
        <v>225</v>
      </c>
      <c r="I782" s="30">
        <f t="shared" si="22"/>
        <v>5850</v>
      </c>
      <c r="J782" s="33">
        <f t="shared" si="23"/>
        <v>170.94017094017093</v>
      </c>
    </row>
    <row r="783" spans="6:10" ht="15">
      <c r="F783" s="30">
        <v>12</v>
      </c>
      <c r="G783" s="30">
        <v>10</v>
      </c>
      <c r="H783" s="30">
        <v>250</v>
      </c>
      <c r="I783" s="30">
        <f t="shared" si="22"/>
        <v>6500</v>
      </c>
      <c r="J783" s="33">
        <f t="shared" si="23"/>
        <v>153.84615384615384</v>
      </c>
    </row>
    <row r="784" spans="6:10" ht="15">
      <c r="F784" s="30">
        <v>12</v>
      </c>
      <c r="G784" s="30">
        <v>11</v>
      </c>
      <c r="H784" s="30">
        <v>275</v>
      </c>
      <c r="I784" s="30">
        <f t="shared" si="22"/>
        <v>7150</v>
      </c>
      <c r="J784" s="33">
        <f t="shared" si="23"/>
        <v>139.86013986013987</v>
      </c>
    </row>
    <row r="785" spans="6:10" ht="15">
      <c r="F785" s="30">
        <v>12</v>
      </c>
      <c r="G785" s="30">
        <v>12</v>
      </c>
      <c r="H785" s="30">
        <v>300</v>
      </c>
      <c r="I785" s="30">
        <f t="shared" si="22"/>
        <v>7800</v>
      </c>
      <c r="J785" s="33">
        <f t="shared" si="23"/>
        <v>128.2051282051282</v>
      </c>
    </row>
    <row r="786" spans="6:10" ht="15">
      <c r="F786" s="30">
        <v>12</v>
      </c>
      <c r="G786" s="30">
        <v>13</v>
      </c>
      <c r="H786" s="30">
        <v>325</v>
      </c>
      <c r="I786" s="30">
        <f t="shared" si="22"/>
        <v>8450</v>
      </c>
      <c r="J786" s="33">
        <f t="shared" si="23"/>
        <v>118.34319526627219</v>
      </c>
    </row>
    <row r="787" spans="6:10" ht="15">
      <c r="F787" s="30">
        <v>12</v>
      </c>
      <c r="G787" s="30">
        <v>14</v>
      </c>
      <c r="H787" s="30">
        <v>350</v>
      </c>
      <c r="I787" s="30">
        <f t="shared" si="22"/>
        <v>9100</v>
      </c>
      <c r="J787" s="33">
        <f t="shared" si="23"/>
        <v>109.89010989010988</v>
      </c>
    </row>
    <row r="788" spans="6:10" ht="15">
      <c r="F788" s="30">
        <v>12</v>
      </c>
      <c r="G788" s="30">
        <v>15</v>
      </c>
      <c r="H788" s="30">
        <v>375</v>
      </c>
      <c r="I788" s="30">
        <f t="shared" si="22"/>
        <v>9750</v>
      </c>
      <c r="J788" s="33">
        <f t="shared" si="23"/>
        <v>102.56410256410255</v>
      </c>
    </row>
    <row r="789" spans="6:10" ht="15">
      <c r="F789" s="30">
        <v>12</v>
      </c>
      <c r="G789" s="30">
        <v>16</v>
      </c>
      <c r="H789" s="30">
        <v>400</v>
      </c>
      <c r="I789" s="30">
        <f t="shared" si="22"/>
        <v>10400</v>
      </c>
      <c r="J789" s="33">
        <f t="shared" si="23"/>
        <v>96.15384615384616</v>
      </c>
    </row>
    <row r="790" spans="6:10" ht="15">
      <c r="F790" s="30">
        <v>12</v>
      </c>
      <c r="G790" s="30">
        <v>17</v>
      </c>
      <c r="H790" s="30">
        <v>425</v>
      </c>
      <c r="I790" s="30">
        <f t="shared" si="22"/>
        <v>11050</v>
      </c>
      <c r="J790" s="33">
        <f t="shared" si="23"/>
        <v>90.497737556561091</v>
      </c>
    </row>
    <row r="791" spans="6:10" ht="15">
      <c r="F791" s="30">
        <v>12</v>
      </c>
      <c r="G791" s="30">
        <v>18</v>
      </c>
      <c r="H791" s="30">
        <v>450</v>
      </c>
      <c r="I791" s="30">
        <f t="shared" si="22"/>
        <v>11700</v>
      </c>
      <c r="J791" s="33">
        <f t="shared" si="23"/>
        <v>85.470085470085465</v>
      </c>
    </row>
    <row r="792" spans="6:10" ht="15">
      <c r="F792" s="30">
        <v>12</v>
      </c>
      <c r="G792" s="30">
        <v>19</v>
      </c>
      <c r="H792" s="30">
        <v>475</v>
      </c>
      <c r="I792" s="30">
        <f t="shared" si="22"/>
        <v>12350</v>
      </c>
      <c r="J792" s="33">
        <f t="shared" si="23"/>
        <v>80.97165991902834</v>
      </c>
    </row>
    <row r="793" spans="6:10" ht="15">
      <c r="F793" s="30">
        <v>12</v>
      </c>
      <c r="G793" s="30">
        <v>20</v>
      </c>
      <c r="H793" s="30">
        <v>500</v>
      </c>
      <c r="I793" s="30">
        <f t="shared" si="22"/>
        <v>13000</v>
      </c>
      <c r="J793" s="33">
        <f t="shared" si="23"/>
        <v>76.92307692307692</v>
      </c>
    </row>
    <row r="794" spans="6:10" ht="15">
      <c r="F794" s="30">
        <v>12</v>
      </c>
      <c r="G794" s="30">
        <v>21</v>
      </c>
      <c r="H794" s="30">
        <v>525</v>
      </c>
      <c r="I794" s="30">
        <f t="shared" si="22"/>
        <v>13650</v>
      </c>
      <c r="J794" s="33">
        <f t="shared" si="23"/>
        <v>73.260073260073256</v>
      </c>
    </row>
    <row r="795" spans="6:10" ht="15">
      <c r="F795" s="30">
        <v>12</v>
      </c>
      <c r="G795" s="30">
        <v>22</v>
      </c>
      <c r="H795" s="30">
        <v>550</v>
      </c>
      <c r="I795" s="30">
        <f t="shared" si="22"/>
        <v>14300</v>
      </c>
      <c r="J795" s="33">
        <f t="shared" si="23"/>
        <v>69.930069930069934</v>
      </c>
    </row>
    <row r="796" spans="6:10" ht="15">
      <c r="F796" s="30">
        <v>12</v>
      </c>
      <c r="G796" s="30">
        <v>23</v>
      </c>
      <c r="H796" s="30">
        <v>575</v>
      </c>
      <c r="I796" s="30">
        <f t="shared" si="22"/>
        <v>14950</v>
      </c>
      <c r="J796" s="33">
        <f t="shared" si="23"/>
        <v>66.889632107023417</v>
      </c>
    </row>
    <row r="797" spans="6:10" ht="15">
      <c r="F797" s="30">
        <v>12</v>
      </c>
      <c r="G797" s="30">
        <v>24</v>
      </c>
      <c r="H797" s="30">
        <v>600</v>
      </c>
      <c r="I797" s="30">
        <f t="shared" si="22"/>
        <v>15600</v>
      </c>
      <c r="J797" s="33">
        <f t="shared" si="23"/>
        <v>64.102564102564102</v>
      </c>
    </row>
    <row r="798" spans="6:10" ht="15">
      <c r="F798" s="30">
        <v>12</v>
      </c>
      <c r="G798" s="30">
        <v>25</v>
      </c>
      <c r="H798" s="30">
        <v>625</v>
      </c>
      <c r="I798" s="30">
        <f t="shared" si="22"/>
        <v>16250</v>
      </c>
      <c r="J798" s="33">
        <f t="shared" si="23"/>
        <v>61.538461538461533</v>
      </c>
    </row>
    <row r="799" spans="6:10" ht="15">
      <c r="F799" s="30">
        <v>12</v>
      </c>
      <c r="G799" s="30">
        <v>26</v>
      </c>
      <c r="H799" s="30">
        <v>650</v>
      </c>
      <c r="I799" s="30">
        <f t="shared" si="22"/>
        <v>16900</v>
      </c>
      <c r="J799" s="33">
        <f t="shared" si="23"/>
        <v>59.171597633136095</v>
      </c>
    </row>
    <row r="800" spans="6:10" ht="15">
      <c r="F800" s="30">
        <v>12</v>
      </c>
      <c r="G800" s="30">
        <v>27</v>
      </c>
      <c r="H800" s="30">
        <v>675</v>
      </c>
      <c r="I800" s="30">
        <f t="shared" si="22"/>
        <v>17550</v>
      </c>
      <c r="J800" s="33">
        <f t="shared" si="23"/>
        <v>56.980056980056979</v>
      </c>
    </row>
    <row r="801" spans="6:10" ht="15">
      <c r="F801" s="30">
        <v>12</v>
      </c>
      <c r="G801" s="30">
        <v>28</v>
      </c>
      <c r="H801" s="30">
        <v>700</v>
      </c>
      <c r="I801" s="30">
        <f t="shared" si="22"/>
        <v>18200</v>
      </c>
      <c r="J801" s="33">
        <f t="shared" si="23"/>
        <v>54.945054945054942</v>
      </c>
    </row>
    <row r="802" spans="6:10" ht="15">
      <c r="F802" s="30">
        <v>12</v>
      </c>
      <c r="G802" s="30">
        <v>29</v>
      </c>
      <c r="H802" s="30">
        <v>725</v>
      </c>
      <c r="I802" s="30">
        <f t="shared" si="22"/>
        <v>18850</v>
      </c>
      <c r="J802" s="33">
        <f t="shared" si="23"/>
        <v>53.050397877984089</v>
      </c>
    </row>
    <row r="803" spans="6:10" ht="15">
      <c r="F803" s="30">
        <v>12</v>
      </c>
      <c r="G803" s="30">
        <v>30</v>
      </c>
      <c r="H803" s="30">
        <v>750</v>
      </c>
      <c r="I803" s="30">
        <f t="shared" si="22"/>
        <v>19500</v>
      </c>
      <c r="J803" s="33">
        <f t="shared" si="23"/>
        <v>51.282051282051277</v>
      </c>
    </row>
    <row r="804" spans="6:10" ht="15">
      <c r="F804" s="30">
        <v>12</v>
      </c>
      <c r="G804" s="30">
        <v>31</v>
      </c>
      <c r="H804" s="30">
        <v>775</v>
      </c>
      <c r="I804" s="30">
        <f t="shared" si="22"/>
        <v>20150</v>
      </c>
      <c r="J804" s="33">
        <f t="shared" si="23"/>
        <v>49.627791563275437</v>
      </c>
    </row>
    <row r="805" spans="6:10" ht="15">
      <c r="F805" s="30">
        <v>12</v>
      </c>
      <c r="G805" s="30">
        <v>32</v>
      </c>
      <c r="H805" s="30">
        <v>800</v>
      </c>
      <c r="I805" s="30">
        <f t="shared" si="22"/>
        <v>20800</v>
      </c>
      <c r="J805" s="33">
        <f t="shared" si="23"/>
        <v>48.07692307692308</v>
      </c>
    </row>
    <row r="806" spans="6:10" ht="15">
      <c r="F806" s="30">
        <v>12</v>
      </c>
      <c r="G806" s="30">
        <v>33</v>
      </c>
      <c r="H806" s="30">
        <v>825</v>
      </c>
      <c r="I806" s="30">
        <f t="shared" si="22"/>
        <v>21450</v>
      </c>
      <c r="J806" s="33">
        <f t="shared" si="23"/>
        <v>46.620046620046622</v>
      </c>
    </row>
    <row r="807" spans="6:10" ht="15">
      <c r="F807" s="30">
        <v>12</v>
      </c>
      <c r="G807" s="30">
        <v>34</v>
      </c>
      <c r="H807" s="30">
        <v>850</v>
      </c>
      <c r="I807" s="30">
        <f t="shared" si="22"/>
        <v>22100</v>
      </c>
      <c r="J807" s="33">
        <f t="shared" si="23"/>
        <v>45.248868778280546</v>
      </c>
    </row>
    <row r="808" spans="6:10" ht="15">
      <c r="F808" s="30">
        <v>12</v>
      </c>
      <c r="G808" s="30">
        <v>35</v>
      </c>
      <c r="H808" s="30">
        <v>875</v>
      </c>
      <c r="I808" s="30">
        <f t="shared" si="22"/>
        <v>22750</v>
      </c>
      <c r="J808" s="33">
        <f t="shared" si="23"/>
        <v>43.956043956043956</v>
      </c>
    </row>
    <row r="809" spans="6:10" ht="15">
      <c r="F809" s="30">
        <v>12</v>
      </c>
      <c r="G809" s="30">
        <v>36</v>
      </c>
      <c r="H809" s="30">
        <v>900</v>
      </c>
      <c r="I809" s="30">
        <f t="shared" si="22"/>
        <v>23400</v>
      </c>
      <c r="J809" s="33">
        <f t="shared" si="23"/>
        <v>42.735042735042732</v>
      </c>
    </row>
    <row r="810" spans="6:10" ht="15">
      <c r="F810" s="30">
        <v>12</v>
      </c>
      <c r="G810" s="30">
        <v>37</v>
      </c>
      <c r="H810" s="30">
        <v>925</v>
      </c>
      <c r="I810" s="30">
        <f t="shared" si="22"/>
        <v>24050</v>
      </c>
      <c r="J810" s="33">
        <f t="shared" si="23"/>
        <v>41.580041580041581</v>
      </c>
    </row>
    <row r="811" spans="6:10" ht="15">
      <c r="F811" s="30">
        <v>12</v>
      </c>
      <c r="G811" s="30">
        <v>38</v>
      </c>
      <c r="H811" s="30">
        <v>950</v>
      </c>
      <c r="I811" s="30">
        <f t="shared" si="22"/>
        <v>24700</v>
      </c>
      <c r="J811" s="33">
        <f t="shared" si="23"/>
        <v>40.48582995951417</v>
      </c>
    </row>
    <row r="812" spans="6:10" ht="15">
      <c r="F812" s="30">
        <v>12</v>
      </c>
      <c r="G812" s="30">
        <v>39</v>
      </c>
      <c r="H812" s="30">
        <v>975</v>
      </c>
      <c r="I812" s="30">
        <f t="shared" si="22"/>
        <v>25350</v>
      </c>
      <c r="J812" s="33">
        <f t="shared" si="23"/>
        <v>39.447731755424059</v>
      </c>
    </row>
    <row r="813" spans="6:10" ht="15">
      <c r="F813" s="30">
        <v>12</v>
      </c>
      <c r="G813" s="30">
        <v>40</v>
      </c>
      <c r="H813" s="30">
        <v>1000</v>
      </c>
      <c r="I813" s="30">
        <f t="shared" si="22"/>
        <v>26000</v>
      </c>
      <c r="J813" s="33">
        <f t="shared" si="23"/>
        <v>38.46153846153846</v>
      </c>
    </row>
    <row r="814" spans="6:10" ht="15">
      <c r="F814" s="30">
        <v>12</v>
      </c>
      <c r="G814" s="30">
        <v>41</v>
      </c>
      <c r="H814" s="30">
        <v>1025</v>
      </c>
      <c r="I814" s="30">
        <f t="shared" si="22"/>
        <v>26650</v>
      </c>
      <c r="J814" s="33">
        <f t="shared" si="23"/>
        <v>37.523452157598499</v>
      </c>
    </row>
    <row r="815" spans="6:10" ht="15">
      <c r="F815" s="30">
        <v>12</v>
      </c>
      <c r="G815" s="30">
        <v>42</v>
      </c>
      <c r="H815" s="30">
        <v>1050</v>
      </c>
      <c r="I815" s="30">
        <f t="shared" si="22"/>
        <v>27300</v>
      </c>
      <c r="J815" s="33">
        <f t="shared" si="23"/>
        <v>36.630036630036628</v>
      </c>
    </row>
    <row r="816" spans="6:10" ht="15">
      <c r="F816" s="30">
        <v>12</v>
      </c>
      <c r="G816" s="30">
        <v>43</v>
      </c>
      <c r="H816" s="30">
        <v>1075</v>
      </c>
      <c r="I816" s="30">
        <f t="shared" si="22"/>
        <v>27950</v>
      </c>
      <c r="J816" s="33">
        <f t="shared" si="23"/>
        <v>35.778175313059037</v>
      </c>
    </row>
    <row r="817" spans="6:10" ht="15">
      <c r="F817" s="30">
        <v>12</v>
      </c>
      <c r="G817" s="30">
        <v>44</v>
      </c>
      <c r="H817" s="30">
        <v>1100</v>
      </c>
      <c r="I817" s="30">
        <f t="shared" si="22"/>
        <v>28600</v>
      </c>
      <c r="J817" s="33">
        <f t="shared" si="23"/>
        <v>34.965034965034967</v>
      </c>
    </row>
    <row r="818" spans="6:10" ht="15">
      <c r="F818" s="30">
        <v>12</v>
      </c>
      <c r="G818" s="30">
        <v>45</v>
      </c>
      <c r="H818" s="30">
        <v>1125</v>
      </c>
      <c r="I818" s="30">
        <f t="shared" si="22"/>
        <v>29250</v>
      </c>
      <c r="J818" s="33">
        <f t="shared" si="23"/>
        <v>34.188034188034187</v>
      </c>
    </row>
    <row r="819" spans="6:10" ht="15">
      <c r="F819" s="30">
        <v>12</v>
      </c>
      <c r="G819" s="30">
        <v>46</v>
      </c>
      <c r="H819" s="30">
        <v>1150</v>
      </c>
      <c r="I819" s="30">
        <f t="shared" si="22"/>
        <v>29900</v>
      </c>
      <c r="J819" s="33">
        <f t="shared" si="23"/>
        <v>33.444816053511708</v>
      </c>
    </row>
    <row r="820" spans="6:10" ht="15">
      <c r="F820" s="30">
        <v>12</v>
      </c>
      <c r="G820" s="30">
        <v>47</v>
      </c>
      <c r="H820" s="30">
        <v>1175</v>
      </c>
      <c r="I820" s="30">
        <f t="shared" si="22"/>
        <v>30550</v>
      </c>
      <c r="J820" s="33">
        <f t="shared" si="23"/>
        <v>32.733224222585925</v>
      </c>
    </row>
    <row r="821" spans="6:10" ht="15">
      <c r="F821" s="30">
        <v>12</v>
      </c>
      <c r="G821" s="30">
        <v>48</v>
      </c>
      <c r="H821" s="30">
        <v>1200</v>
      </c>
      <c r="I821" s="30">
        <f t="shared" si="22"/>
        <v>31200</v>
      </c>
      <c r="J821" s="33">
        <f t="shared" si="23"/>
        <v>32.051282051282051</v>
      </c>
    </row>
    <row r="822" spans="6:10" ht="15">
      <c r="F822" s="30">
        <v>12</v>
      </c>
      <c r="G822" s="30">
        <v>49</v>
      </c>
      <c r="H822" s="30">
        <v>1225</v>
      </c>
      <c r="I822" s="30">
        <f t="shared" si="22"/>
        <v>31850</v>
      </c>
      <c r="J822" s="33">
        <f t="shared" si="23"/>
        <v>31.397174254317111</v>
      </c>
    </row>
    <row r="823" spans="6:10" ht="15">
      <c r="F823" s="30">
        <v>12</v>
      </c>
      <c r="G823" s="30">
        <v>50</v>
      </c>
      <c r="H823" s="30">
        <v>1250</v>
      </c>
      <c r="I823" s="30">
        <f t="shared" si="22"/>
        <v>32500</v>
      </c>
      <c r="J823" s="33">
        <f t="shared" si="23"/>
        <v>30.769230769230766</v>
      </c>
    </row>
    <row r="824" spans="6:10" ht="15">
      <c r="F824" s="30">
        <v>12</v>
      </c>
      <c r="G824" s="30">
        <v>51</v>
      </c>
      <c r="H824" s="30">
        <v>1275</v>
      </c>
      <c r="I824" s="30">
        <f t="shared" si="22"/>
        <v>33150</v>
      </c>
      <c r="J824" s="33">
        <f t="shared" si="23"/>
        <v>30.165912518853695</v>
      </c>
    </row>
    <row r="825" spans="6:10" ht="15">
      <c r="F825" s="30">
        <v>12</v>
      </c>
      <c r="G825" s="30">
        <v>52</v>
      </c>
      <c r="H825" s="30">
        <v>1300</v>
      </c>
      <c r="I825" s="30">
        <f t="shared" si="22"/>
        <v>33800</v>
      </c>
      <c r="J825" s="33">
        <f t="shared" si="23"/>
        <v>29.585798816568047</v>
      </c>
    </row>
    <row r="826" spans="6:10" ht="15">
      <c r="F826" s="30">
        <v>12</v>
      </c>
      <c r="G826" s="30">
        <v>53</v>
      </c>
      <c r="H826" s="30">
        <v>1325</v>
      </c>
      <c r="I826" s="30">
        <f t="shared" si="22"/>
        <v>34450</v>
      </c>
      <c r="J826" s="33">
        <f t="shared" si="23"/>
        <v>29.027576197387518</v>
      </c>
    </row>
    <row r="827" spans="6:10" ht="15">
      <c r="F827" s="30">
        <v>12</v>
      </c>
      <c r="G827" s="30">
        <v>54</v>
      </c>
      <c r="H827" s="30">
        <v>1350</v>
      </c>
      <c r="I827" s="30">
        <f t="shared" si="22"/>
        <v>35100</v>
      </c>
      <c r="J827" s="33">
        <f t="shared" si="23"/>
        <v>28.490028490028489</v>
      </c>
    </row>
    <row r="828" spans="6:10" ht="15">
      <c r="F828" s="30">
        <v>12</v>
      </c>
      <c r="G828" s="30">
        <v>55</v>
      </c>
      <c r="H828" s="30">
        <v>1375</v>
      </c>
      <c r="I828" s="30">
        <f t="shared" si="22"/>
        <v>35750</v>
      </c>
      <c r="J828" s="33">
        <f t="shared" si="23"/>
        <v>27.972027972027973</v>
      </c>
    </row>
    <row r="829" spans="6:10" ht="15">
      <c r="F829" s="30">
        <v>12</v>
      </c>
      <c r="G829" s="30">
        <v>56</v>
      </c>
      <c r="H829" s="30">
        <v>1400</v>
      </c>
      <c r="I829" s="30">
        <f t="shared" si="22"/>
        <v>36400</v>
      </c>
      <c r="J829" s="33">
        <f t="shared" si="23"/>
        <v>27.472527472527471</v>
      </c>
    </row>
    <row r="830" spans="6:10" ht="15">
      <c r="F830" s="30">
        <v>12</v>
      </c>
      <c r="G830" s="30">
        <v>57</v>
      </c>
      <c r="H830" s="30">
        <v>1425</v>
      </c>
      <c r="I830" s="30">
        <f t="shared" si="22"/>
        <v>37050</v>
      </c>
      <c r="J830" s="33">
        <f t="shared" si="23"/>
        <v>26.990553306342782</v>
      </c>
    </row>
    <row r="831" spans="6:10" ht="15">
      <c r="F831" s="30">
        <v>12</v>
      </c>
      <c r="G831" s="30">
        <v>58</v>
      </c>
      <c r="H831" s="30">
        <v>1450</v>
      </c>
      <c r="I831" s="30">
        <f t="shared" si="22"/>
        <v>37700</v>
      </c>
      <c r="J831" s="33">
        <f t="shared" si="23"/>
        <v>26.525198938992045</v>
      </c>
    </row>
    <row r="832" spans="6:10" ht="15">
      <c r="F832" s="30">
        <v>12</v>
      </c>
      <c r="G832" s="30">
        <v>59</v>
      </c>
      <c r="H832" s="30">
        <v>1475</v>
      </c>
      <c r="I832" s="30">
        <f t="shared" si="22"/>
        <v>38350</v>
      </c>
      <c r="J832" s="33">
        <f t="shared" si="23"/>
        <v>26.07561929595828</v>
      </c>
    </row>
    <row r="833" spans="6:10" ht="15">
      <c r="F833" s="30">
        <v>12</v>
      </c>
      <c r="G833" s="30">
        <v>60</v>
      </c>
      <c r="H833" s="30">
        <v>1500</v>
      </c>
      <c r="I833" s="30">
        <f t="shared" si="22"/>
        <v>39000</v>
      </c>
      <c r="J833" s="33">
        <f t="shared" si="23"/>
        <v>25.641025641025639</v>
      </c>
    </row>
    <row r="834" spans="6:10" ht="15">
      <c r="F834" s="30">
        <v>12</v>
      </c>
      <c r="G834" s="30">
        <v>61</v>
      </c>
      <c r="H834" s="30">
        <v>1525</v>
      </c>
      <c r="I834" s="30">
        <f t="shared" si="22"/>
        <v>39650</v>
      </c>
      <c r="J834" s="33">
        <f t="shared" si="23"/>
        <v>25.220680958385877</v>
      </c>
    </row>
    <row r="835" spans="6:10" ht="15">
      <c r="F835" s="30">
        <v>12</v>
      </c>
      <c r="G835" s="30">
        <v>62</v>
      </c>
      <c r="H835" s="30">
        <v>1550</v>
      </c>
      <c r="I835" s="30">
        <f t="shared" si="22"/>
        <v>40300</v>
      </c>
      <c r="J835" s="33">
        <f t="shared" si="23"/>
        <v>24.813895781637719</v>
      </c>
    </row>
    <row r="836" spans="6:10" ht="15">
      <c r="F836" s="30">
        <v>12</v>
      </c>
      <c r="G836" s="30">
        <v>63</v>
      </c>
      <c r="H836" s="30">
        <v>1575</v>
      </c>
      <c r="I836" s="30">
        <f t="shared" si="22"/>
        <v>40950</v>
      </c>
      <c r="J836" s="33">
        <f t="shared" si="23"/>
        <v>24.420024420024419</v>
      </c>
    </row>
    <row r="837" spans="6:10" ht="15">
      <c r="F837" s="30">
        <v>12</v>
      </c>
      <c r="G837" s="30">
        <v>64</v>
      </c>
      <c r="H837" s="30">
        <v>1600</v>
      </c>
      <c r="I837" s="30">
        <f t="shared" si="22"/>
        <v>41600</v>
      </c>
      <c r="J837" s="33">
        <f t="shared" si="23"/>
        <v>24.03846153846154</v>
      </c>
    </row>
    <row r="838" spans="6:10" ht="15">
      <c r="F838" s="30">
        <v>13</v>
      </c>
      <c r="G838" s="30">
        <v>1</v>
      </c>
      <c r="H838" s="30">
        <v>25</v>
      </c>
      <c r="I838" s="30">
        <f t="shared" si="22"/>
        <v>675</v>
      </c>
      <c r="J838" s="33">
        <f t="shared" si="23"/>
        <v>1481.4814814814813</v>
      </c>
    </row>
    <row r="839" spans="6:10" ht="15">
      <c r="F839" s="30">
        <v>13</v>
      </c>
      <c r="G839" s="30">
        <v>2</v>
      </c>
      <c r="H839" s="30">
        <v>50</v>
      </c>
      <c r="I839" s="30">
        <f t="shared" ref="I839:I902" si="24">(14+F839)*H839</f>
        <v>1350</v>
      </c>
      <c r="J839" s="33">
        <f t="shared" ref="J839:J902" si="25">(1/I839)*1000000</f>
        <v>740.74074074074065</v>
      </c>
    </row>
    <row r="840" spans="6:10" ht="15">
      <c r="F840" s="30">
        <v>13</v>
      </c>
      <c r="G840" s="30">
        <v>3</v>
      </c>
      <c r="H840" s="30">
        <v>75</v>
      </c>
      <c r="I840" s="30">
        <f t="shared" si="24"/>
        <v>2025</v>
      </c>
      <c r="J840" s="33">
        <f t="shared" si="25"/>
        <v>493.82716049382719</v>
      </c>
    </row>
    <row r="841" spans="6:10" ht="15">
      <c r="F841" s="30">
        <v>13</v>
      </c>
      <c r="G841" s="30">
        <v>4</v>
      </c>
      <c r="H841" s="30">
        <v>100</v>
      </c>
      <c r="I841" s="30">
        <f t="shared" si="24"/>
        <v>2700</v>
      </c>
      <c r="J841" s="33">
        <f t="shared" si="25"/>
        <v>370.37037037037032</v>
      </c>
    </row>
    <row r="842" spans="6:10" ht="15">
      <c r="F842" s="30">
        <v>13</v>
      </c>
      <c r="G842" s="30">
        <v>5</v>
      </c>
      <c r="H842" s="30">
        <v>125</v>
      </c>
      <c r="I842" s="30">
        <f t="shared" si="24"/>
        <v>3375</v>
      </c>
      <c r="J842" s="33">
        <f t="shared" si="25"/>
        <v>296.2962962962963</v>
      </c>
    </row>
    <row r="843" spans="6:10" ht="15">
      <c r="F843" s="30">
        <v>13</v>
      </c>
      <c r="G843" s="30">
        <v>6</v>
      </c>
      <c r="H843" s="30">
        <v>150</v>
      </c>
      <c r="I843" s="30">
        <f t="shared" si="24"/>
        <v>4050</v>
      </c>
      <c r="J843" s="33">
        <f t="shared" si="25"/>
        <v>246.9135802469136</v>
      </c>
    </row>
    <row r="844" spans="6:10" ht="15">
      <c r="F844" s="30">
        <v>13</v>
      </c>
      <c r="G844" s="30">
        <v>7</v>
      </c>
      <c r="H844" s="30">
        <v>175</v>
      </c>
      <c r="I844" s="30">
        <f t="shared" si="24"/>
        <v>4725</v>
      </c>
      <c r="J844" s="33">
        <f t="shared" si="25"/>
        <v>211.64021164021165</v>
      </c>
    </row>
    <row r="845" spans="6:10" ht="15">
      <c r="F845" s="30">
        <v>13</v>
      </c>
      <c r="G845" s="30">
        <v>8</v>
      </c>
      <c r="H845" s="30">
        <v>200</v>
      </c>
      <c r="I845" s="30">
        <f t="shared" si="24"/>
        <v>5400</v>
      </c>
      <c r="J845" s="33">
        <f t="shared" si="25"/>
        <v>185.18518518518516</v>
      </c>
    </row>
    <row r="846" spans="6:10" ht="15">
      <c r="F846" s="30">
        <v>13</v>
      </c>
      <c r="G846" s="30">
        <v>9</v>
      </c>
      <c r="H846" s="30">
        <v>225</v>
      </c>
      <c r="I846" s="30">
        <f t="shared" si="24"/>
        <v>6075</v>
      </c>
      <c r="J846" s="33">
        <f t="shared" si="25"/>
        <v>164.6090534979424</v>
      </c>
    </row>
    <row r="847" spans="6:10" ht="15">
      <c r="F847" s="30">
        <v>13</v>
      </c>
      <c r="G847" s="30">
        <v>10</v>
      </c>
      <c r="H847" s="30">
        <v>250</v>
      </c>
      <c r="I847" s="30">
        <f t="shared" si="24"/>
        <v>6750</v>
      </c>
      <c r="J847" s="33">
        <f t="shared" si="25"/>
        <v>148.14814814814815</v>
      </c>
    </row>
    <row r="848" spans="6:10" ht="15">
      <c r="F848" s="30">
        <v>13</v>
      </c>
      <c r="G848" s="30">
        <v>11</v>
      </c>
      <c r="H848" s="30">
        <v>275</v>
      </c>
      <c r="I848" s="30">
        <f t="shared" si="24"/>
        <v>7425</v>
      </c>
      <c r="J848" s="33">
        <f t="shared" si="25"/>
        <v>134.68013468013467</v>
      </c>
    </row>
    <row r="849" spans="6:10" ht="15">
      <c r="F849" s="30">
        <v>13</v>
      </c>
      <c r="G849" s="30">
        <v>12</v>
      </c>
      <c r="H849" s="30">
        <v>300</v>
      </c>
      <c r="I849" s="30">
        <f t="shared" si="24"/>
        <v>8100</v>
      </c>
      <c r="J849" s="33">
        <f t="shared" si="25"/>
        <v>123.4567901234568</v>
      </c>
    </row>
    <row r="850" spans="6:10" ht="15">
      <c r="F850" s="30">
        <v>13</v>
      </c>
      <c r="G850" s="30">
        <v>13</v>
      </c>
      <c r="H850" s="30">
        <v>325</v>
      </c>
      <c r="I850" s="30">
        <f t="shared" si="24"/>
        <v>8775</v>
      </c>
      <c r="J850" s="33">
        <f t="shared" si="25"/>
        <v>113.96011396011396</v>
      </c>
    </row>
    <row r="851" spans="6:10" ht="15">
      <c r="F851" s="30">
        <v>13</v>
      </c>
      <c r="G851" s="30">
        <v>14</v>
      </c>
      <c r="H851" s="30">
        <v>350</v>
      </c>
      <c r="I851" s="30">
        <f t="shared" si="24"/>
        <v>9450</v>
      </c>
      <c r="J851" s="33">
        <f t="shared" si="25"/>
        <v>105.82010582010582</v>
      </c>
    </row>
    <row r="852" spans="6:10" ht="15">
      <c r="F852" s="30">
        <v>13</v>
      </c>
      <c r="G852" s="30">
        <v>15</v>
      </c>
      <c r="H852" s="30">
        <v>375</v>
      </c>
      <c r="I852" s="30">
        <f t="shared" si="24"/>
        <v>10125</v>
      </c>
      <c r="J852" s="33">
        <f t="shared" si="25"/>
        <v>98.76543209876543</v>
      </c>
    </row>
    <row r="853" spans="6:10" ht="15">
      <c r="F853" s="30">
        <v>13</v>
      </c>
      <c r="G853" s="30">
        <v>16</v>
      </c>
      <c r="H853" s="30">
        <v>400</v>
      </c>
      <c r="I853" s="30">
        <f t="shared" si="24"/>
        <v>10800</v>
      </c>
      <c r="J853" s="33">
        <f t="shared" si="25"/>
        <v>92.592592592592581</v>
      </c>
    </row>
    <row r="854" spans="6:10" ht="15">
      <c r="F854" s="30">
        <v>13</v>
      </c>
      <c r="G854" s="30">
        <v>17</v>
      </c>
      <c r="H854" s="30">
        <v>425</v>
      </c>
      <c r="I854" s="30">
        <f t="shared" si="24"/>
        <v>11475</v>
      </c>
      <c r="J854" s="33">
        <f t="shared" si="25"/>
        <v>87.145969498910674</v>
      </c>
    </row>
    <row r="855" spans="6:10" ht="15">
      <c r="F855" s="30">
        <v>13</v>
      </c>
      <c r="G855" s="30">
        <v>18</v>
      </c>
      <c r="H855" s="30">
        <v>450</v>
      </c>
      <c r="I855" s="30">
        <f t="shared" si="24"/>
        <v>12150</v>
      </c>
      <c r="J855" s="33">
        <f t="shared" si="25"/>
        <v>82.304526748971199</v>
      </c>
    </row>
    <row r="856" spans="6:10" ht="15">
      <c r="F856" s="30">
        <v>13</v>
      </c>
      <c r="G856" s="30">
        <v>19</v>
      </c>
      <c r="H856" s="30">
        <v>475</v>
      </c>
      <c r="I856" s="30">
        <f t="shared" si="24"/>
        <v>12825</v>
      </c>
      <c r="J856" s="33">
        <f t="shared" si="25"/>
        <v>77.972709551656919</v>
      </c>
    </row>
    <row r="857" spans="6:10" ht="15">
      <c r="F857" s="30">
        <v>13</v>
      </c>
      <c r="G857" s="30">
        <v>20</v>
      </c>
      <c r="H857" s="30">
        <v>500</v>
      </c>
      <c r="I857" s="30">
        <f t="shared" si="24"/>
        <v>13500</v>
      </c>
      <c r="J857" s="33">
        <f t="shared" si="25"/>
        <v>74.074074074074076</v>
      </c>
    </row>
    <row r="858" spans="6:10" ht="15">
      <c r="F858" s="30">
        <v>13</v>
      </c>
      <c r="G858" s="30">
        <v>21</v>
      </c>
      <c r="H858" s="30">
        <v>525</v>
      </c>
      <c r="I858" s="30">
        <f t="shared" si="24"/>
        <v>14175</v>
      </c>
      <c r="J858" s="33">
        <f t="shared" si="25"/>
        <v>70.546737213403873</v>
      </c>
    </row>
    <row r="859" spans="6:10" ht="15">
      <c r="F859" s="30">
        <v>13</v>
      </c>
      <c r="G859" s="30">
        <v>22</v>
      </c>
      <c r="H859" s="30">
        <v>550</v>
      </c>
      <c r="I859" s="30">
        <f t="shared" si="24"/>
        <v>14850</v>
      </c>
      <c r="J859" s="33">
        <f t="shared" si="25"/>
        <v>67.340067340067336</v>
      </c>
    </row>
    <row r="860" spans="6:10" ht="15">
      <c r="F860" s="30">
        <v>13</v>
      </c>
      <c r="G860" s="30">
        <v>23</v>
      </c>
      <c r="H860" s="30">
        <v>575</v>
      </c>
      <c r="I860" s="30">
        <f t="shared" si="24"/>
        <v>15525</v>
      </c>
      <c r="J860" s="33">
        <f t="shared" si="25"/>
        <v>64.412238325281791</v>
      </c>
    </row>
    <row r="861" spans="6:10" ht="15">
      <c r="F861" s="30">
        <v>13</v>
      </c>
      <c r="G861" s="30">
        <v>24</v>
      </c>
      <c r="H861" s="30">
        <v>600</v>
      </c>
      <c r="I861" s="30">
        <f t="shared" si="24"/>
        <v>16200</v>
      </c>
      <c r="J861" s="33">
        <f t="shared" si="25"/>
        <v>61.728395061728399</v>
      </c>
    </row>
    <row r="862" spans="6:10" ht="15">
      <c r="F862" s="30">
        <v>13</v>
      </c>
      <c r="G862" s="30">
        <v>25</v>
      </c>
      <c r="H862" s="30">
        <v>625</v>
      </c>
      <c r="I862" s="30">
        <f t="shared" si="24"/>
        <v>16875</v>
      </c>
      <c r="J862" s="33">
        <f t="shared" si="25"/>
        <v>59.25925925925926</v>
      </c>
    </row>
    <row r="863" spans="6:10" ht="15">
      <c r="F863" s="30">
        <v>13</v>
      </c>
      <c r="G863" s="30">
        <v>26</v>
      </c>
      <c r="H863" s="30">
        <v>650</v>
      </c>
      <c r="I863" s="30">
        <f t="shared" si="24"/>
        <v>17550</v>
      </c>
      <c r="J863" s="33">
        <f t="shared" si="25"/>
        <v>56.980056980056979</v>
      </c>
    </row>
    <row r="864" spans="6:10" ht="15">
      <c r="F864" s="30">
        <v>13</v>
      </c>
      <c r="G864" s="30">
        <v>27</v>
      </c>
      <c r="H864" s="30">
        <v>675</v>
      </c>
      <c r="I864" s="30">
        <f t="shared" si="24"/>
        <v>18225</v>
      </c>
      <c r="J864" s="33">
        <f t="shared" si="25"/>
        <v>54.869684499314126</v>
      </c>
    </row>
    <row r="865" spans="6:10" ht="15">
      <c r="F865" s="30">
        <v>13</v>
      </c>
      <c r="G865" s="30">
        <v>28</v>
      </c>
      <c r="H865" s="30">
        <v>700</v>
      </c>
      <c r="I865" s="30">
        <f t="shared" si="24"/>
        <v>18900</v>
      </c>
      <c r="J865" s="33">
        <f t="shared" si="25"/>
        <v>52.910052910052912</v>
      </c>
    </row>
    <row r="866" spans="6:10" ht="15">
      <c r="F866" s="30">
        <v>13</v>
      </c>
      <c r="G866" s="30">
        <v>29</v>
      </c>
      <c r="H866" s="30">
        <v>725</v>
      </c>
      <c r="I866" s="30">
        <f t="shared" si="24"/>
        <v>19575</v>
      </c>
      <c r="J866" s="33">
        <f t="shared" si="25"/>
        <v>51.085568326947637</v>
      </c>
    </row>
    <row r="867" spans="6:10" ht="15">
      <c r="F867" s="30">
        <v>13</v>
      </c>
      <c r="G867" s="30">
        <v>30</v>
      </c>
      <c r="H867" s="30">
        <v>750</v>
      </c>
      <c r="I867" s="30">
        <f t="shared" si="24"/>
        <v>20250</v>
      </c>
      <c r="J867" s="33">
        <f t="shared" si="25"/>
        <v>49.382716049382715</v>
      </c>
    </row>
    <row r="868" spans="6:10" ht="15">
      <c r="F868" s="30">
        <v>13</v>
      </c>
      <c r="G868" s="30">
        <v>31</v>
      </c>
      <c r="H868" s="30">
        <v>775</v>
      </c>
      <c r="I868" s="30">
        <f t="shared" si="24"/>
        <v>20925</v>
      </c>
      <c r="J868" s="33">
        <f t="shared" si="25"/>
        <v>47.789725209080054</v>
      </c>
    </row>
    <row r="869" spans="6:10" ht="15">
      <c r="F869" s="30">
        <v>13</v>
      </c>
      <c r="G869" s="30">
        <v>32</v>
      </c>
      <c r="H869" s="30">
        <v>800</v>
      </c>
      <c r="I869" s="30">
        <f t="shared" si="24"/>
        <v>21600</v>
      </c>
      <c r="J869" s="33">
        <f t="shared" si="25"/>
        <v>46.296296296296291</v>
      </c>
    </row>
    <row r="870" spans="6:10" ht="15">
      <c r="F870" s="30">
        <v>13</v>
      </c>
      <c r="G870" s="30">
        <v>33</v>
      </c>
      <c r="H870" s="30">
        <v>825</v>
      </c>
      <c r="I870" s="30">
        <f t="shared" si="24"/>
        <v>22275</v>
      </c>
      <c r="J870" s="33">
        <f t="shared" si="25"/>
        <v>44.893378226711562</v>
      </c>
    </row>
    <row r="871" spans="6:10" ht="15">
      <c r="F871" s="30">
        <v>13</v>
      </c>
      <c r="G871" s="30">
        <v>34</v>
      </c>
      <c r="H871" s="30">
        <v>850</v>
      </c>
      <c r="I871" s="30">
        <f t="shared" si="24"/>
        <v>22950</v>
      </c>
      <c r="J871" s="33">
        <f t="shared" si="25"/>
        <v>43.572984749455337</v>
      </c>
    </row>
    <row r="872" spans="6:10" ht="15">
      <c r="F872" s="30">
        <v>13</v>
      </c>
      <c r="G872" s="30">
        <v>35</v>
      </c>
      <c r="H872" s="30">
        <v>875</v>
      </c>
      <c r="I872" s="30">
        <f t="shared" si="24"/>
        <v>23625</v>
      </c>
      <c r="J872" s="33">
        <f t="shared" si="25"/>
        <v>42.328042328042329</v>
      </c>
    </row>
    <row r="873" spans="6:10" ht="15">
      <c r="F873" s="30">
        <v>13</v>
      </c>
      <c r="G873" s="30">
        <v>36</v>
      </c>
      <c r="H873" s="30">
        <v>900</v>
      </c>
      <c r="I873" s="30">
        <f t="shared" si="24"/>
        <v>24300</v>
      </c>
      <c r="J873" s="33">
        <f t="shared" si="25"/>
        <v>41.152263374485599</v>
      </c>
    </row>
    <row r="874" spans="6:10" ht="15">
      <c r="F874" s="30">
        <v>13</v>
      </c>
      <c r="G874" s="30">
        <v>37</v>
      </c>
      <c r="H874" s="30">
        <v>925</v>
      </c>
      <c r="I874" s="30">
        <f t="shared" si="24"/>
        <v>24975</v>
      </c>
      <c r="J874" s="33">
        <f t="shared" si="25"/>
        <v>40.04004004004004</v>
      </c>
    </row>
    <row r="875" spans="6:10" ht="15">
      <c r="F875" s="30">
        <v>13</v>
      </c>
      <c r="G875" s="30">
        <v>38</v>
      </c>
      <c r="H875" s="30">
        <v>950</v>
      </c>
      <c r="I875" s="30">
        <f t="shared" si="24"/>
        <v>25650</v>
      </c>
      <c r="J875" s="33">
        <f t="shared" si="25"/>
        <v>38.98635477582846</v>
      </c>
    </row>
    <row r="876" spans="6:10" ht="15">
      <c r="F876" s="30">
        <v>13</v>
      </c>
      <c r="G876" s="30">
        <v>39</v>
      </c>
      <c r="H876" s="30">
        <v>975</v>
      </c>
      <c r="I876" s="30">
        <f t="shared" si="24"/>
        <v>26325</v>
      </c>
      <c r="J876" s="33">
        <f t="shared" si="25"/>
        <v>37.986704653371326</v>
      </c>
    </row>
    <row r="877" spans="6:10" ht="15">
      <c r="F877" s="30">
        <v>13</v>
      </c>
      <c r="G877" s="30">
        <v>40</v>
      </c>
      <c r="H877" s="30">
        <v>1000</v>
      </c>
      <c r="I877" s="30">
        <f t="shared" si="24"/>
        <v>27000</v>
      </c>
      <c r="J877" s="33">
        <f t="shared" si="25"/>
        <v>37.037037037037038</v>
      </c>
    </row>
    <row r="878" spans="6:10" ht="15">
      <c r="F878" s="30">
        <v>13</v>
      </c>
      <c r="G878" s="30">
        <v>41</v>
      </c>
      <c r="H878" s="30">
        <v>1025</v>
      </c>
      <c r="I878" s="30">
        <f t="shared" si="24"/>
        <v>27675</v>
      </c>
      <c r="J878" s="33">
        <f t="shared" si="25"/>
        <v>36.133694670280036</v>
      </c>
    </row>
    <row r="879" spans="6:10" ht="15">
      <c r="F879" s="30">
        <v>13</v>
      </c>
      <c r="G879" s="30">
        <v>42</v>
      </c>
      <c r="H879" s="30">
        <v>1050</v>
      </c>
      <c r="I879" s="30">
        <f t="shared" si="24"/>
        <v>28350</v>
      </c>
      <c r="J879" s="33">
        <f t="shared" si="25"/>
        <v>35.273368606701936</v>
      </c>
    </row>
    <row r="880" spans="6:10" ht="15">
      <c r="F880" s="30">
        <v>13</v>
      </c>
      <c r="G880" s="30">
        <v>43</v>
      </c>
      <c r="H880" s="30">
        <v>1075</v>
      </c>
      <c r="I880" s="30">
        <f t="shared" si="24"/>
        <v>29025</v>
      </c>
      <c r="J880" s="33">
        <f t="shared" si="25"/>
        <v>34.453057708871661</v>
      </c>
    </row>
    <row r="881" spans="6:10" ht="15">
      <c r="F881" s="30">
        <v>13</v>
      </c>
      <c r="G881" s="30">
        <v>44</v>
      </c>
      <c r="H881" s="30">
        <v>1100</v>
      </c>
      <c r="I881" s="30">
        <f t="shared" si="24"/>
        <v>29700</v>
      </c>
      <c r="J881" s="33">
        <f t="shared" si="25"/>
        <v>33.670033670033668</v>
      </c>
    </row>
    <row r="882" spans="6:10" ht="15">
      <c r="F882" s="30">
        <v>13</v>
      </c>
      <c r="G882" s="30">
        <v>45</v>
      </c>
      <c r="H882" s="30">
        <v>1125</v>
      </c>
      <c r="I882" s="30">
        <f t="shared" si="24"/>
        <v>30375</v>
      </c>
      <c r="J882" s="33">
        <f t="shared" si="25"/>
        <v>32.921810699588477</v>
      </c>
    </row>
    <row r="883" spans="6:10" ht="15">
      <c r="F883" s="30">
        <v>13</v>
      </c>
      <c r="G883" s="30">
        <v>46</v>
      </c>
      <c r="H883" s="30">
        <v>1150</v>
      </c>
      <c r="I883" s="30">
        <f t="shared" si="24"/>
        <v>31050</v>
      </c>
      <c r="J883" s="33">
        <f t="shared" si="25"/>
        <v>32.206119162640896</v>
      </c>
    </row>
    <row r="884" spans="6:10" ht="15">
      <c r="F884" s="30">
        <v>13</v>
      </c>
      <c r="G884" s="30">
        <v>47</v>
      </c>
      <c r="H884" s="30">
        <v>1175</v>
      </c>
      <c r="I884" s="30">
        <f t="shared" si="24"/>
        <v>31725</v>
      </c>
      <c r="J884" s="33">
        <f t="shared" si="25"/>
        <v>31.520882584712368</v>
      </c>
    </row>
    <row r="885" spans="6:10" ht="15">
      <c r="F885" s="30">
        <v>13</v>
      </c>
      <c r="G885" s="30">
        <v>48</v>
      </c>
      <c r="H885" s="30">
        <v>1200</v>
      </c>
      <c r="I885" s="30">
        <f t="shared" si="24"/>
        <v>32400</v>
      </c>
      <c r="J885" s="33">
        <f t="shared" si="25"/>
        <v>30.8641975308642</v>
      </c>
    </row>
    <row r="886" spans="6:10" ht="15">
      <c r="F886" s="30">
        <v>13</v>
      </c>
      <c r="G886" s="30">
        <v>49</v>
      </c>
      <c r="H886" s="30">
        <v>1225</v>
      </c>
      <c r="I886" s="30">
        <f t="shared" si="24"/>
        <v>33075</v>
      </c>
      <c r="J886" s="33">
        <f t="shared" si="25"/>
        <v>30.234315948601662</v>
      </c>
    </row>
    <row r="887" spans="6:10" ht="15">
      <c r="F887" s="30">
        <v>13</v>
      </c>
      <c r="G887" s="30">
        <v>50</v>
      </c>
      <c r="H887" s="30">
        <v>1250</v>
      </c>
      <c r="I887" s="30">
        <f t="shared" si="24"/>
        <v>33750</v>
      </c>
      <c r="J887" s="33">
        <f t="shared" si="25"/>
        <v>29.62962962962963</v>
      </c>
    </row>
    <row r="888" spans="6:10" ht="15">
      <c r="F888" s="30">
        <v>13</v>
      </c>
      <c r="G888" s="30">
        <v>51</v>
      </c>
      <c r="H888" s="30">
        <v>1275</v>
      </c>
      <c r="I888" s="30">
        <f t="shared" si="24"/>
        <v>34425</v>
      </c>
      <c r="J888" s="33">
        <f t="shared" si="25"/>
        <v>29.048656499636895</v>
      </c>
    </row>
    <row r="889" spans="6:10" ht="15">
      <c r="F889" s="30">
        <v>13</v>
      </c>
      <c r="G889" s="30">
        <v>52</v>
      </c>
      <c r="H889" s="30">
        <v>1300</v>
      </c>
      <c r="I889" s="30">
        <f t="shared" si="24"/>
        <v>35100</v>
      </c>
      <c r="J889" s="33">
        <f t="shared" si="25"/>
        <v>28.490028490028489</v>
      </c>
    </row>
    <row r="890" spans="6:10" ht="15">
      <c r="F890" s="30">
        <v>13</v>
      </c>
      <c r="G890" s="30">
        <v>53</v>
      </c>
      <c r="H890" s="30">
        <v>1325</v>
      </c>
      <c r="I890" s="30">
        <f t="shared" si="24"/>
        <v>35775</v>
      </c>
      <c r="J890" s="33">
        <f t="shared" si="25"/>
        <v>27.952480782669461</v>
      </c>
    </row>
    <row r="891" spans="6:10" ht="15">
      <c r="F891" s="30">
        <v>13</v>
      </c>
      <c r="G891" s="30">
        <v>54</v>
      </c>
      <c r="H891" s="30">
        <v>1350</v>
      </c>
      <c r="I891" s="30">
        <f t="shared" si="24"/>
        <v>36450</v>
      </c>
      <c r="J891" s="33">
        <f t="shared" si="25"/>
        <v>27.434842249657063</v>
      </c>
    </row>
    <row r="892" spans="6:10" ht="15">
      <c r="F892" s="30">
        <v>13</v>
      </c>
      <c r="G892" s="30">
        <v>55</v>
      </c>
      <c r="H892" s="30">
        <v>1375</v>
      </c>
      <c r="I892" s="30">
        <f t="shared" si="24"/>
        <v>37125</v>
      </c>
      <c r="J892" s="33">
        <f t="shared" si="25"/>
        <v>26.936026936026938</v>
      </c>
    </row>
    <row r="893" spans="6:10" ht="15">
      <c r="F893" s="30">
        <v>13</v>
      </c>
      <c r="G893" s="30">
        <v>56</v>
      </c>
      <c r="H893" s="30">
        <v>1400</v>
      </c>
      <c r="I893" s="30">
        <f t="shared" si="24"/>
        <v>37800</v>
      </c>
      <c r="J893" s="33">
        <f t="shared" si="25"/>
        <v>26.455026455026456</v>
      </c>
    </row>
    <row r="894" spans="6:10" ht="15">
      <c r="F894" s="30">
        <v>13</v>
      </c>
      <c r="G894" s="30">
        <v>57</v>
      </c>
      <c r="H894" s="30">
        <v>1425</v>
      </c>
      <c r="I894" s="30">
        <f t="shared" si="24"/>
        <v>38475</v>
      </c>
      <c r="J894" s="33">
        <f t="shared" si="25"/>
        <v>25.990903183885639</v>
      </c>
    </row>
    <row r="895" spans="6:10" ht="15">
      <c r="F895" s="30">
        <v>13</v>
      </c>
      <c r="G895" s="30">
        <v>58</v>
      </c>
      <c r="H895" s="30">
        <v>1450</v>
      </c>
      <c r="I895" s="30">
        <f t="shared" si="24"/>
        <v>39150</v>
      </c>
      <c r="J895" s="33">
        <f t="shared" si="25"/>
        <v>25.542784163473819</v>
      </c>
    </row>
    <row r="896" spans="6:10" ht="15">
      <c r="F896" s="30">
        <v>13</v>
      </c>
      <c r="G896" s="30">
        <v>59</v>
      </c>
      <c r="H896" s="30">
        <v>1475</v>
      </c>
      <c r="I896" s="30">
        <f t="shared" si="24"/>
        <v>39825</v>
      </c>
      <c r="J896" s="33">
        <f t="shared" si="25"/>
        <v>25.109855618330194</v>
      </c>
    </row>
    <row r="897" spans="6:10" ht="15">
      <c r="F897" s="30">
        <v>13</v>
      </c>
      <c r="G897" s="30">
        <v>60</v>
      </c>
      <c r="H897" s="30">
        <v>1500</v>
      </c>
      <c r="I897" s="30">
        <f t="shared" si="24"/>
        <v>40500</v>
      </c>
      <c r="J897" s="33">
        <f t="shared" si="25"/>
        <v>24.691358024691358</v>
      </c>
    </row>
    <row r="898" spans="6:10" ht="15">
      <c r="F898" s="30">
        <v>13</v>
      </c>
      <c r="G898" s="30">
        <v>61</v>
      </c>
      <c r="H898" s="30">
        <v>1525</v>
      </c>
      <c r="I898" s="30">
        <f t="shared" si="24"/>
        <v>41175</v>
      </c>
      <c r="J898" s="33">
        <f t="shared" si="25"/>
        <v>24.286581663630844</v>
      </c>
    </row>
    <row r="899" spans="6:10" ht="15">
      <c r="F899" s="30">
        <v>13</v>
      </c>
      <c r="G899" s="30">
        <v>62</v>
      </c>
      <c r="H899" s="30">
        <v>1550</v>
      </c>
      <c r="I899" s="30">
        <f t="shared" si="24"/>
        <v>41850</v>
      </c>
      <c r="J899" s="33">
        <f t="shared" si="25"/>
        <v>23.894862604540027</v>
      </c>
    </row>
    <row r="900" spans="6:10" ht="15">
      <c r="F900" s="30">
        <v>13</v>
      </c>
      <c r="G900" s="30">
        <v>63</v>
      </c>
      <c r="H900" s="30">
        <v>1575</v>
      </c>
      <c r="I900" s="30">
        <f t="shared" si="24"/>
        <v>42525</v>
      </c>
      <c r="J900" s="33">
        <f t="shared" si="25"/>
        <v>23.515579071134628</v>
      </c>
    </row>
    <row r="901" spans="6:10" ht="15">
      <c r="F901" s="30">
        <v>13</v>
      </c>
      <c r="G901" s="30">
        <v>64</v>
      </c>
      <c r="H901" s="30">
        <v>1600</v>
      </c>
      <c r="I901" s="30">
        <f t="shared" si="24"/>
        <v>43200</v>
      </c>
      <c r="J901" s="33">
        <f t="shared" si="25"/>
        <v>23.148148148148145</v>
      </c>
    </row>
    <row r="902" spans="6:10" ht="15">
      <c r="F902" s="30">
        <v>14</v>
      </c>
      <c r="G902" s="30">
        <v>1</v>
      </c>
      <c r="H902" s="30">
        <v>25</v>
      </c>
      <c r="I902" s="30">
        <f t="shared" si="24"/>
        <v>700</v>
      </c>
      <c r="J902" s="33">
        <f t="shared" si="25"/>
        <v>1428.5714285714287</v>
      </c>
    </row>
    <row r="903" spans="6:10" ht="15">
      <c r="F903" s="30">
        <v>14</v>
      </c>
      <c r="G903" s="30">
        <v>2</v>
      </c>
      <c r="H903" s="30">
        <v>50</v>
      </c>
      <c r="I903" s="30">
        <f t="shared" ref="I903:I966" si="26">(14+F903)*H903</f>
        <v>1400</v>
      </c>
      <c r="J903" s="33">
        <f t="shared" ref="J903:J966" si="27">(1/I903)*1000000</f>
        <v>714.28571428571433</v>
      </c>
    </row>
    <row r="904" spans="6:10" ht="15">
      <c r="F904" s="30">
        <v>14</v>
      </c>
      <c r="G904" s="30">
        <v>3</v>
      </c>
      <c r="H904" s="30">
        <v>75</v>
      </c>
      <c r="I904" s="30">
        <f t="shared" si="26"/>
        <v>2100</v>
      </c>
      <c r="J904" s="33">
        <f t="shared" si="27"/>
        <v>476.1904761904762</v>
      </c>
    </row>
    <row r="905" spans="6:10" ht="15">
      <c r="F905" s="30">
        <v>14</v>
      </c>
      <c r="G905" s="30">
        <v>4</v>
      </c>
      <c r="H905" s="30">
        <v>100</v>
      </c>
      <c r="I905" s="30">
        <f t="shared" si="26"/>
        <v>2800</v>
      </c>
      <c r="J905" s="33">
        <f t="shared" si="27"/>
        <v>357.14285714285717</v>
      </c>
    </row>
    <row r="906" spans="6:10" ht="15">
      <c r="F906" s="30">
        <v>14</v>
      </c>
      <c r="G906" s="30">
        <v>5</v>
      </c>
      <c r="H906" s="30">
        <v>125</v>
      </c>
      <c r="I906" s="30">
        <f t="shared" si="26"/>
        <v>3500</v>
      </c>
      <c r="J906" s="33">
        <f t="shared" si="27"/>
        <v>285.71428571428572</v>
      </c>
    </row>
    <row r="907" spans="6:10" ht="15">
      <c r="F907" s="30">
        <v>14</v>
      </c>
      <c r="G907" s="30">
        <v>6</v>
      </c>
      <c r="H907" s="30">
        <v>150</v>
      </c>
      <c r="I907" s="30">
        <f t="shared" si="26"/>
        <v>4200</v>
      </c>
      <c r="J907" s="33">
        <f t="shared" si="27"/>
        <v>238.0952380952381</v>
      </c>
    </row>
    <row r="908" spans="6:10" ht="15">
      <c r="F908" s="30">
        <v>14</v>
      </c>
      <c r="G908" s="30">
        <v>7</v>
      </c>
      <c r="H908" s="30">
        <v>175</v>
      </c>
      <c r="I908" s="30">
        <f t="shared" si="26"/>
        <v>4900</v>
      </c>
      <c r="J908" s="33">
        <f t="shared" si="27"/>
        <v>204.08163265306123</v>
      </c>
    </row>
    <row r="909" spans="6:10" ht="15">
      <c r="F909" s="30">
        <v>14</v>
      </c>
      <c r="G909" s="30">
        <v>8</v>
      </c>
      <c r="H909" s="30">
        <v>200</v>
      </c>
      <c r="I909" s="30">
        <f t="shared" si="26"/>
        <v>5600</v>
      </c>
      <c r="J909" s="33">
        <f t="shared" si="27"/>
        <v>178.57142857142858</v>
      </c>
    </row>
    <row r="910" spans="6:10" ht="15">
      <c r="F910" s="30">
        <v>14</v>
      </c>
      <c r="G910" s="30">
        <v>9</v>
      </c>
      <c r="H910" s="30">
        <v>225</v>
      </c>
      <c r="I910" s="30">
        <f t="shared" si="26"/>
        <v>6300</v>
      </c>
      <c r="J910" s="33">
        <f t="shared" si="27"/>
        <v>158.73015873015873</v>
      </c>
    </row>
    <row r="911" spans="6:10" ht="15">
      <c r="F911" s="30">
        <v>14</v>
      </c>
      <c r="G911" s="30">
        <v>10</v>
      </c>
      <c r="H911" s="30">
        <v>250</v>
      </c>
      <c r="I911" s="30">
        <f t="shared" si="26"/>
        <v>7000</v>
      </c>
      <c r="J911" s="33">
        <f t="shared" si="27"/>
        <v>142.85714285714286</v>
      </c>
    </row>
    <row r="912" spans="6:10" ht="15">
      <c r="F912" s="30">
        <v>14</v>
      </c>
      <c r="G912" s="30">
        <v>11</v>
      </c>
      <c r="H912" s="30">
        <v>275</v>
      </c>
      <c r="I912" s="30">
        <f t="shared" si="26"/>
        <v>7700</v>
      </c>
      <c r="J912" s="33">
        <f t="shared" si="27"/>
        <v>129.87012987012986</v>
      </c>
    </row>
    <row r="913" spans="6:10" ht="15">
      <c r="F913" s="30">
        <v>14</v>
      </c>
      <c r="G913" s="30">
        <v>12</v>
      </c>
      <c r="H913" s="30">
        <v>300</v>
      </c>
      <c r="I913" s="30">
        <f t="shared" si="26"/>
        <v>8400</v>
      </c>
      <c r="J913" s="33">
        <f t="shared" si="27"/>
        <v>119.04761904761905</v>
      </c>
    </row>
    <row r="914" spans="6:10" ht="15">
      <c r="F914" s="30">
        <v>14</v>
      </c>
      <c r="G914" s="30">
        <v>13</v>
      </c>
      <c r="H914" s="30">
        <v>325</v>
      </c>
      <c r="I914" s="30">
        <f t="shared" si="26"/>
        <v>9100</v>
      </c>
      <c r="J914" s="33">
        <f t="shared" si="27"/>
        <v>109.89010989010988</v>
      </c>
    </row>
    <row r="915" spans="6:10" ht="15">
      <c r="F915" s="30">
        <v>14</v>
      </c>
      <c r="G915" s="30">
        <v>14</v>
      </c>
      <c r="H915" s="30">
        <v>350</v>
      </c>
      <c r="I915" s="30">
        <f t="shared" si="26"/>
        <v>9800</v>
      </c>
      <c r="J915" s="33">
        <f t="shared" si="27"/>
        <v>102.04081632653062</v>
      </c>
    </row>
    <row r="916" spans="6:10" ht="15">
      <c r="F916" s="30">
        <v>14</v>
      </c>
      <c r="G916" s="30">
        <v>15</v>
      </c>
      <c r="H916" s="30">
        <v>375</v>
      </c>
      <c r="I916" s="30">
        <f t="shared" si="26"/>
        <v>10500</v>
      </c>
      <c r="J916" s="33">
        <f t="shared" si="27"/>
        <v>95.238095238095241</v>
      </c>
    </row>
    <row r="917" spans="6:10" ht="15">
      <c r="F917" s="30">
        <v>14</v>
      </c>
      <c r="G917" s="30">
        <v>16</v>
      </c>
      <c r="H917" s="30">
        <v>400</v>
      </c>
      <c r="I917" s="30">
        <f t="shared" si="26"/>
        <v>11200</v>
      </c>
      <c r="J917" s="33">
        <f t="shared" si="27"/>
        <v>89.285714285714292</v>
      </c>
    </row>
    <row r="918" spans="6:10" ht="15">
      <c r="F918" s="30">
        <v>14</v>
      </c>
      <c r="G918" s="30">
        <v>17</v>
      </c>
      <c r="H918" s="30">
        <v>425</v>
      </c>
      <c r="I918" s="30">
        <f t="shared" si="26"/>
        <v>11900</v>
      </c>
      <c r="J918" s="33">
        <f t="shared" si="27"/>
        <v>84.033613445378151</v>
      </c>
    </row>
    <row r="919" spans="6:10" ht="15">
      <c r="F919" s="30">
        <v>14</v>
      </c>
      <c r="G919" s="30">
        <v>18</v>
      </c>
      <c r="H919" s="30">
        <v>450</v>
      </c>
      <c r="I919" s="30">
        <f t="shared" si="26"/>
        <v>12600</v>
      </c>
      <c r="J919" s="33">
        <f t="shared" si="27"/>
        <v>79.365079365079367</v>
      </c>
    </row>
    <row r="920" spans="6:10" ht="15">
      <c r="F920" s="30">
        <v>14</v>
      </c>
      <c r="G920" s="30">
        <v>19</v>
      </c>
      <c r="H920" s="30">
        <v>475</v>
      </c>
      <c r="I920" s="30">
        <f t="shared" si="26"/>
        <v>13300</v>
      </c>
      <c r="J920" s="33">
        <f t="shared" si="27"/>
        <v>75.187969924812023</v>
      </c>
    </row>
    <row r="921" spans="6:10" ht="15">
      <c r="F921" s="30">
        <v>14</v>
      </c>
      <c r="G921" s="30">
        <v>20</v>
      </c>
      <c r="H921" s="30">
        <v>500</v>
      </c>
      <c r="I921" s="30">
        <f t="shared" si="26"/>
        <v>14000</v>
      </c>
      <c r="J921" s="33">
        <f t="shared" si="27"/>
        <v>71.428571428571431</v>
      </c>
    </row>
    <row r="922" spans="6:10" ht="15">
      <c r="F922" s="30">
        <v>14</v>
      </c>
      <c r="G922" s="30">
        <v>21</v>
      </c>
      <c r="H922" s="30">
        <v>525</v>
      </c>
      <c r="I922" s="30">
        <f t="shared" si="26"/>
        <v>14700</v>
      </c>
      <c r="J922" s="33">
        <f t="shared" si="27"/>
        <v>68.027210884353735</v>
      </c>
    </row>
    <row r="923" spans="6:10" ht="15">
      <c r="F923" s="30">
        <v>14</v>
      </c>
      <c r="G923" s="30">
        <v>22</v>
      </c>
      <c r="H923" s="30">
        <v>550</v>
      </c>
      <c r="I923" s="30">
        <f t="shared" si="26"/>
        <v>15400</v>
      </c>
      <c r="J923" s="33">
        <f t="shared" si="27"/>
        <v>64.935064935064929</v>
      </c>
    </row>
    <row r="924" spans="6:10" ht="15">
      <c r="F924" s="30">
        <v>14</v>
      </c>
      <c r="G924" s="30">
        <v>23</v>
      </c>
      <c r="H924" s="30">
        <v>575</v>
      </c>
      <c r="I924" s="30">
        <f t="shared" si="26"/>
        <v>16100</v>
      </c>
      <c r="J924" s="33">
        <f t="shared" si="27"/>
        <v>62.111801242236027</v>
      </c>
    </row>
    <row r="925" spans="6:10" ht="15">
      <c r="F925" s="30">
        <v>14</v>
      </c>
      <c r="G925" s="30">
        <v>24</v>
      </c>
      <c r="H925" s="30">
        <v>600</v>
      </c>
      <c r="I925" s="30">
        <f t="shared" si="26"/>
        <v>16800</v>
      </c>
      <c r="J925" s="33">
        <f t="shared" si="27"/>
        <v>59.523809523809526</v>
      </c>
    </row>
    <row r="926" spans="6:10" ht="15">
      <c r="F926" s="30">
        <v>14</v>
      </c>
      <c r="G926" s="30">
        <v>25</v>
      </c>
      <c r="H926" s="30">
        <v>625</v>
      </c>
      <c r="I926" s="30">
        <f t="shared" si="26"/>
        <v>17500</v>
      </c>
      <c r="J926" s="33">
        <f t="shared" si="27"/>
        <v>57.142857142857139</v>
      </c>
    </row>
    <row r="927" spans="6:10" ht="15">
      <c r="F927" s="30">
        <v>14</v>
      </c>
      <c r="G927" s="30">
        <v>26</v>
      </c>
      <c r="H927" s="30">
        <v>650</v>
      </c>
      <c r="I927" s="30">
        <f t="shared" si="26"/>
        <v>18200</v>
      </c>
      <c r="J927" s="33">
        <f t="shared" si="27"/>
        <v>54.945054945054942</v>
      </c>
    </row>
    <row r="928" spans="6:10" ht="15">
      <c r="F928" s="30">
        <v>14</v>
      </c>
      <c r="G928" s="30">
        <v>27</v>
      </c>
      <c r="H928" s="30">
        <v>675</v>
      </c>
      <c r="I928" s="30">
        <f t="shared" si="26"/>
        <v>18900</v>
      </c>
      <c r="J928" s="33">
        <f t="shared" si="27"/>
        <v>52.910052910052912</v>
      </c>
    </row>
    <row r="929" spans="6:10" ht="15">
      <c r="F929" s="30">
        <v>14</v>
      </c>
      <c r="G929" s="30">
        <v>28</v>
      </c>
      <c r="H929" s="30">
        <v>700</v>
      </c>
      <c r="I929" s="30">
        <f t="shared" si="26"/>
        <v>19600</v>
      </c>
      <c r="J929" s="33">
        <f t="shared" si="27"/>
        <v>51.020408163265309</v>
      </c>
    </row>
    <row r="930" spans="6:10" ht="15">
      <c r="F930" s="30">
        <v>14</v>
      </c>
      <c r="G930" s="30">
        <v>29</v>
      </c>
      <c r="H930" s="30">
        <v>725</v>
      </c>
      <c r="I930" s="30">
        <f t="shared" si="26"/>
        <v>20300</v>
      </c>
      <c r="J930" s="33">
        <f t="shared" si="27"/>
        <v>49.26108374384237</v>
      </c>
    </row>
    <row r="931" spans="6:10" ht="15">
      <c r="F931" s="30">
        <v>14</v>
      </c>
      <c r="G931" s="30">
        <v>30</v>
      </c>
      <c r="H931" s="30">
        <v>750</v>
      </c>
      <c r="I931" s="30">
        <f t="shared" si="26"/>
        <v>21000</v>
      </c>
      <c r="J931" s="33">
        <f t="shared" si="27"/>
        <v>47.61904761904762</v>
      </c>
    </row>
    <row r="932" spans="6:10" ht="15">
      <c r="F932" s="30">
        <v>14</v>
      </c>
      <c r="G932" s="30">
        <v>31</v>
      </c>
      <c r="H932" s="30">
        <v>775</v>
      </c>
      <c r="I932" s="30">
        <f t="shared" si="26"/>
        <v>21700</v>
      </c>
      <c r="J932" s="33">
        <f t="shared" si="27"/>
        <v>46.082949308755758</v>
      </c>
    </row>
    <row r="933" spans="6:10" ht="15">
      <c r="F933" s="30">
        <v>14</v>
      </c>
      <c r="G933" s="30">
        <v>32</v>
      </c>
      <c r="H933" s="30">
        <v>800</v>
      </c>
      <c r="I933" s="30">
        <f t="shared" si="26"/>
        <v>22400</v>
      </c>
      <c r="J933" s="33">
        <f t="shared" si="27"/>
        <v>44.642857142857146</v>
      </c>
    </row>
    <row r="934" spans="6:10" ht="15">
      <c r="F934" s="30">
        <v>14</v>
      </c>
      <c r="G934" s="30">
        <v>33</v>
      </c>
      <c r="H934" s="30">
        <v>825</v>
      </c>
      <c r="I934" s="30">
        <f t="shared" si="26"/>
        <v>23100</v>
      </c>
      <c r="J934" s="33">
        <f t="shared" si="27"/>
        <v>43.290043290043293</v>
      </c>
    </row>
    <row r="935" spans="6:10" ht="15">
      <c r="F935" s="30">
        <v>14</v>
      </c>
      <c r="G935" s="30">
        <v>34</v>
      </c>
      <c r="H935" s="30">
        <v>850</v>
      </c>
      <c r="I935" s="30">
        <f t="shared" si="26"/>
        <v>23800</v>
      </c>
      <c r="J935" s="33">
        <f t="shared" si="27"/>
        <v>42.016806722689076</v>
      </c>
    </row>
    <row r="936" spans="6:10" ht="15">
      <c r="F936" s="30">
        <v>14</v>
      </c>
      <c r="G936" s="30">
        <v>35</v>
      </c>
      <c r="H936" s="30">
        <v>875</v>
      </c>
      <c r="I936" s="30">
        <f t="shared" si="26"/>
        <v>24500</v>
      </c>
      <c r="J936" s="33">
        <f t="shared" si="27"/>
        <v>40.816326530612244</v>
      </c>
    </row>
    <row r="937" spans="6:10" ht="15">
      <c r="F937" s="30">
        <v>14</v>
      </c>
      <c r="G937" s="30">
        <v>36</v>
      </c>
      <c r="H937" s="30">
        <v>900</v>
      </c>
      <c r="I937" s="30">
        <f t="shared" si="26"/>
        <v>25200</v>
      </c>
      <c r="J937" s="33">
        <f t="shared" si="27"/>
        <v>39.682539682539684</v>
      </c>
    </row>
    <row r="938" spans="6:10" ht="15">
      <c r="F938" s="30">
        <v>14</v>
      </c>
      <c r="G938" s="30">
        <v>37</v>
      </c>
      <c r="H938" s="30">
        <v>925</v>
      </c>
      <c r="I938" s="30">
        <f t="shared" si="26"/>
        <v>25900</v>
      </c>
      <c r="J938" s="33">
        <f t="shared" si="27"/>
        <v>38.610038610038615</v>
      </c>
    </row>
    <row r="939" spans="6:10" ht="15">
      <c r="F939" s="30">
        <v>14</v>
      </c>
      <c r="G939" s="30">
        <v>38</v>
      </c>
      <c r="H939" s="30">
        <v>950</v>
      </c>
      <c r="I939" s="30">
        <f t="shared" si="26"/>
        <v>26600</v>
      </c>
      <c r="J939" s="33">
        <f t="shared" si="27"/>
        <v>37.593984962406012</v>
      </c>
    </row>
    <row r="940" spans="6:10" ht="15">
      <c r="F940" s="30">
        <v>14</v>
      </c>
      <c r="G940" s="30">
        <v>39</v>
      </c>
      <c r="H940" s="30">
        <v>975</v>
      </c>
      <c r="I940" s="30">
        <f t="shared" si="26"/>
        <v>27300</v>
      </c>
      <c r="J940" s="33">
        <f t="shared" si="27"/>
        <v>36.630036630036628</v>
      </c>
    </row>
    <row r="941" spans="6:10" ht="15">
      <c r="F941" s="30">
        <v>14</v>
      </c>
      <c r="G941" s="30">
        <v>40</v>
      </c>
      <c r="H941" s="30">
        <v>1000</v>
      </c>
      <c r="I941" s="30">
        <f t="shared" si="26"/>
        <v>28000</v>
      </c>
      <c r="J941" s="33">
        <f t="shared" si="27"/>
        <v>35.714285714285715</v>
      </c>
    </row>
    <row r="942" spans="6:10" ht="15">
      <c r="F942" s="30">
        <v>14</v>
      </c>
      <c r="G942" s="30">
        <v>41</v>
      </c>
      <c r="H942" s="30">
        <v>1025</v>
      </c>
      <c r="I942" s="30">
        <f t="shared" si="26"/>
        <v>28700</v>
      </c>
      <c r="J942" s="33">
        <f t="shared" si="27"/>
        <v>34.843205574912893</v>
      </c>
    </row>
    <row r="943" spans="6:10" ht="15">
      <c r="F943" s="30">
        <v>14</v>
      </c>
      <c r="G943" s="30">
        <v>42</v>
      </c>
      <c r="H943" s="30">
        <v>1050</v>
      </c>
      <c r="I943" s="30">
        <f t="shared" si="26"/>
        <v>29400</v>
      </c>
      <c r="J943" s="33">
        <f t="shared" si="27"/>
        <v>34.013605442176868</v>
      </c>
    </row>
    <row r="944" spans="6:10" ht="15">
      <c r="F944" s="30">
        <v>14</v>
      </c>
      <c r="G944" s="30">
        <v>43</v>
      </c>
      <c r="H944" s="30">
        <v>1075</v>
      </c>
      <c r="I944" s="30">
        <f t="shared" si="26"/>
        <v>30100</v>
      </c>
      <c r="J944" s="33">
        <f t="shared" si="27"/>
        <v>33.222591362126245</v>
      </c>
    </row>
    <row r="945" spans="6:10" ht="15">
      <c r="F945" s="30">
        <v>14</v>
      </c>
      <c r="G945" s="30">
        <v>44</v>
      </c>
      <c r="H945" s="30">
        <v>1100</v>
      </c>
      <c r="I945" s="30">
        <f t="shared" si="26"/>
        <v>30800</v>
      </c>
      <c r="J945" s="33">
        <f t="shared" si="27"/>
        <v>32.467532467532465</v>
      </c>
    </row>
    <row r="946" spans="6:10" ht="15">
      <c r="F946" s="30">
        <v>14</v>
      </c>
      <c r="G946" s="30">
        <v>45</v>
      </c>
      <c r="H946" s="30">
        <v>1125</v>
      </c>
      <c r="I946" s="30">
        <f t="shared" si="26"/>
        <v>31500</v>
      </c>
      <c r="J946" s="33">
        <f t="shared" si="27"/>
        <v>31.746031746031743</v>
      </c>
    </row>
    <row r="947" spans="6:10" ht="15">
      <c r="F947" s="30">
        <v>14</v>
      </c>
      <c r="G947" s="30">
        <v>46</v>
      </c>
      <c r="H947" s="30">
        <v>1150</v>
      </c>
      <c r="I947" s="30">
        <f t="shared" si="26"/>
        <v>32200</v>
      </c>
      <c r="J947" s="33">
        <f t="shared" si="27"/>
        <v>31.055900621118013</v>
      </c>
    </row>
    <row r="948" spans="6:10" ht="15">
      <c r="F948" s="30">
        <v>14</v>
      </c>
      <c r="G948" s="30">
        <v>47</v>
      </c>
      <c r="H948" s="30">
        <v>1175</v>
      </c>
      <c r="I948" s="30">
        <f t="shared" si="26"/>
        <v>32900</v>
      </c>
      <c r="J948" s="33">
        <f t="shared" si="27"/>
        <v>30.395136778115504</v>
      </c>
    </row>
    <row r="949" spans="6:10" ht="15">
      <c r="F949" s="30">
        <v>14</v>
      </c>
      <c r="G949" s="30">
        <v>48</v>
      </c>
      <c r="H949" s="30">
        <v>1200</v>
      </c>
      <c r="I949" s="30">
        <f t="shared" si="26"/>
        <v>33600</v>
      </c>
      <c r="J949" s="33">
        <f t="shared" si="27"/>
        <v>29.761904761904763</v>
      </c>
    </row>
    <row r="950" spans="6:10" ht="15">
      <c r="F950" s="30">
        <v>14</v>
      </c>
      <c r="G950" s="30">
        <v>49</v>
      </c>
      <c r="H950" s="30">
        <v>1225</v>
      </c>
      <c r="I950" s="30">
        <f t="shared" si="26"/>
        <v>34300</v>
      </c>
      <c r="J950" s="33">
        <f t="shared" si="27"/>
        <v>29.154518950437318</v>
      </c>
    </row>
    <row r="951" spans="6:10" ht="15">
      <c r="F951" s="30">
        <v>14</v>
      </c>
      <c r="G951" s="30">
        <v>50</v>
      </c>
      <c r="H951" s="30">
        <v>1250</v>
      </c>
      <c r="I951" s="30">
        <f t="shared" si="26"/>
        <v>35000</v>
      </c>
      <c r="J951" s="33">
        <f t="shared" si="27"/>
        <v>28.571428571428569</v>
      </c>
    </row>
    <row r="952" spans="6:10" ht="15">
      <c r="F952" s="30">
        <v>14</v>
      </c>
      <c r="G952" s="30">
        <v>51</v>
      </c>
      <c r="H952" s="30">
        <v>1275</v>
      </c>
      <c r="I952" s="30">
        <f t="shared" si="26"/>
        <v>35700</v>
      </c>
      <c r="J952" s="33">
        <f t="shared" si="27"/>
        <v>28.011204481792717</v>
      </c>
    </row>
    <row r="953" spans="6:10" ht="15">
      <c r="F953" s="30">
        <v>14</v>
      </c>
      <c r="G953" s="30">
        <v>52</v>
      </c>
      <c r="H953" s="30">
        <v>1300</v>
      </c>
      <c r="I953" s="30">
        <f t="shared" si="26"/>
        <v>36400</v>
      </c>
      <c r="J953" s="33">
        <f t="shared" si="27"/>
        <v>27.472527472527471</v>
      </c>
    </row>
    <row r="954" spans="6:10" ht="15">
      <c r="F954" s="30">
        <v>14</v>
      </c>
      <c r="G954" s="30">
        <v>53</v>
      </c>
      <c r="H954" s="30">
        <v>1325</v>
      </c>
      <c r="I954" s="30">
        <f t="shared" si="26"/>
        <v>37100</v>
      </c>
      <c r="J954" s="33">
        <f t="shared" si="27"/>
        <v>26.954177897574123</v>
      </c>
    </row>
    <row r="955" spans="6:10" ht="15">
      <c r="F955" s="30">
        <v>14</v>
      </c>
      <c r="G955" s="30">
        <v>54</v>
      </c>
      <c r="H955" s="30">
        <v>1350</v>
      </c>
      <c r="I955" s="30">
        <f t="shared" si="26"/>
        <v>37800</v>
      </c>
      <c r="J955" s="33">
        <f t="shared" si="27"/>
        <v>26.455026455026456</v>
      </c>
    </row>
    <row r="956" spans="6:10" ht="15">
      <c r="F956" s="30">
        <v>14</v>
      </c>
      <c r="G956" s="30">
        <v>55</v>
      </c>
      <c r="H956" s="30">
        <v>1375</v>
      </c>
      <c r="I956" s="30">
        <f t="shared" si="26"/>
        <v>38500</v>
      </c>
      <c r="J956" s="33">
        <f t="shared" si="27"/>
        <v>25.974025974025974</v>
      </c>
    </row>
    <row r="957" spans="6:10" ht="15">
      <c r="F957" s="30">
        <v>14</v>
      </c>
      <c r="G957" s="30">
        <v>56</v>
      </c>
      <c r="H957" s="30">
        <v>1400</v>
      </c>
      <c r="I957" s="30">
        <f t="shared" si="26"/>
        <v>39200</v>
      </c>
      <c r="J957" s="33">
        <f t="shared" si="27"/>
        <v>25.510204081632654</v>
      </c>
    </row>
    <row r="958" spans="6:10" ht="15">
      <c r="F958" s="30">
        <v>14</v>
      </c>
      <c r="G958" s="30">
        <v>57</v>
      </c>
      <c r="H958" s="30">
        <v>1425</v>
      </c>
      <c r="I958" s="30">
        <f t="shared" si="26"/>
        <v>39900</v>
      </c>
      <c r="J958" s="33">
        <f t="shared" si="27"/>
        <v>25.062656641604011</v>
      </c>
    </row>
    <row r="959" spans="6:10" ht="15">
      <c r="F959" s="30">
        <v>14</v>
      </c>
      <c r="G959" s="30">
        <v>58</v>
      </c>
      <c r="H959" s="30">
        <v>1450</v>
      </c>
      <c r="I959" s="30">
        <f t="shared" si="26"/>
        <v>40600</v>
      </c>
      <c r="J959" s="33">
        <f t="shared" si="27"/>
        <v>24.630541871921185</v>
      </c>
    </row>
    <row r="960" spans="6:10" ht="15">
      <c r="F960" s="30">
        <v>14</v>
      </c>
      <c r="G960" s="30">
        <v>59</v>
      </c>
      <c r="H960" s="30">
        <v>1475</v>
      </c>
      <c r="I960" s="30">
        <f t="shared" si="26"/>
        <v>41300</v>
      </c>
      <c r="J960" s="33">
        <f t="shared" si="27"/>
        <v>24.213075060532688</v>
      </c>
    </row>
    <row r="961" spans="6:10" ht="15">
      <c r="F961" s="30">
        <v>14</v>
      </c>
      <c r="G961" s="30">
        <v>60</v>
      </c>
      <c r="H961" s="30">
        <v>1500</v>
      </c>
      <c r="I961" s="30">
        <f t="shared" si="26"/>
        <v>42000</v>
      </c>
      <c r="J961" s="33">
        <f t="shared" si="27"/>
        <v>23.80952380952381</v>
      </c>
    </row>
    <row r="962" spans="6:10" ht="15">
      <c r="F962" s="30">
        <v>14</v>
      </c>
      <c r="G962" s="30">
        <v>61</v>
      </c>
      <c r="H962" s="30">
        <v>1525</v>
      </c>
      <c r="I962" s="30">
        <f t="shared" si="26"/>
        <v>42700</v>
      </c>
      <c r="J962" s="33">
        <f t="shared" si="27"/>
        <v>23.419203747072601</v>
      </c>
    </row>
    <row r="963" spans="6:10" ht="15">
      <c r="F963" s="30">
        <v>14</v>
      </c>
      <c r="G963" s="30">
        <v>62</v>
      </c>
      <c r="H963" s="30">
        <v>1550</v>
      </c>
      <c r="I963" s="30">
        <f t="shared" si="26"/>
        <v>43400</v>
      </c>
      <c r="J963" s="33">
        <f t="shared" si="27"/>
        <v>23.041474654377879</v>
      </c>
    </row>
    <row r="964" spans="6:10" ht="15">
      <c r="F964" s="30">
        <v>14</v>
      </c>
      <c r="G964" s="30">
        <v>63</v>
      </c>
      <c r="H964" s="30">
        <v>1575</v>
      </c>
      <c r="I964" s="30">
        <f t="shared" si="26"/>
        <v>44100</v>
      </c>
      <c r="J964" s="33">
        <f t="shared" si="27"/>
        <v>22.675736961451246</v>
      </c>
    </row>
    <row r="965" spans="6:10" ht="15">
      <c r="F965" s="30">
        <v>14</v>
      </c>
      <c r="G965" s="30">
        <v>64</v>
      </c>
      <c r="H965" s="30">
        <v>1600</v>
      </c>
      <c r="I965" s="30">
        <f t="shared" si="26"/>
        <v>44800</v>
      </c>
      <c r="J965" s="33">
        <f t="shared" si="27"/>
        <v>22.321428571428573</v>
      </c>
    </row>
    <row r="966" spans="6:10" ht="15">
      <c r="F966" s="30">
        <v>15</v>
      </c>
      <c r="G966" s="30">
        <v>1</v>
      </c>
      <c r="H966" s="30">
        <v>25</v>
      </c>
      <c r="I966" s="30">
        <f t="shared" si="26"/>
        <v>725</v>
      </c>
      <c r="J966" s="33">
        <f t="shared" si="27"/>
        <v>1379.3103448275861</v>
      </c>
    </row>
    <row r="967" spans="6:10" ht="15">
      <c r="F967" s="30">
        <v>15</v>
      </c>
      <c r="G967" s="30">
        <v>2</v>
      </c>
      <c r="H967" s="30">
        <v>50</v>
      </c>
      <c r="I967" s="30">
        <f t="shared" ref="I967:I1030" si="28">(14+F967)*H967</f>
        <v>1450</v>
      </c>
      <c r="J967" s="33">
        <f t="shared" ref="J967:J1030" si="29">(1/I967)*1000000</f>
        <v>689.65517241379303</v>
      </c>
    </row>
    <row r="968" spans="6:10" ht="15">
      <c r="F968" s="30">
        <v>15</v>
      </c>
      <c r="G968" s="30">
        <v>3</v>
      </c>
      <c r="H968" s="30">
        <v>75</v>
      </c>
      <c r="I968" s="30">
        <f t="shared" si="28"/>
        <v>2175</v>
      </c>
      <c r="J968" s="33">
        <f t="shared" si="29"/>
        <v>459.77011494252872</v>
      </c>
    </row>
    <row r="969" spans="6:10" ht="15">
      <c r="F969" s="30">
        <v>15</v>
      </c>
      <c r="G969" s="30">
        <v>4</v>
      </c>
      <c r="H969" s="30">
        <v>100</v>
      </c>
      <c r="I969" s="30">
        <f t="shared" si="28"/>
        <v>2900</v>
      </c>
      <c r="J969" s="33">
        <f t="shared" si="29"/>
        <v>344.82758620689651</v>
      </c>
    </row>
    <row r="970" spans="6:10" ht="15">
      <c r="F970" s="30">
        <v>15</v>
      </c>
      <c r="G970" s="30">
        <v>5</v>
      </c>
      <c r="H970" s="30">
        <v>125</v>
      </c>
      <c r="I970" s="30">
        <f t="shared" si="28"/>
        <v>3625</v>
      </c>
      <c r="J970" s="33">
        <f t="shared" si="29"/>
        <v>275.86206896551727</v>
      </c>
    </row>
    <row r="971" spans="6:10" ht="15">
      <c r="F971" s="30">
        <v>15</v>
      </c>
      <c r="G971" s="30">
        <v>6</v>
      </c>
      <c r="H971" s="30">
        <v>150</v>
      </c>
      <c r="I971" s="30">
        <f t="shared" si="28"/>
        <v>4350</v>
      </c>
      <c r="J971" s="33">
        <f t="shared" si="29"/>
        <v>229.88505747126436</v>
      </c>
    </row>
    <row r="972" spans="6:10" ht="15">
      <c r="F972" s="30">
        <v>15</v>
      </c>
      <c r="G972" s="30">
        <v>7</v>
      </c>
      <c r="H972" s="30">
        <v>175</v>
      </c>
      <c r="I972" s="30">
        <f t="shared" si="28"/>
        <v>5075</v>
      </c>
      <c r="J972" s="33">
        <f t="shared" si="29"/>
        <v>197.04433497536948</v>
      </c>
    </row>
    <row r="973" spans="6:10" ht="15">
      <c r="F973" s="30">
        <v>15</v>
      </c>
      <c r="G973" s="30">
        <v>8</v>
      </c>
      <c r="H973" s="30">
        <v>200</v>
      </c>
      <c r="I973" s="30">
        <f t="shared" si="28"/>
        <v>5800</v>
      </c>
      <c r="J973" s="33">
        <f t="shared" si="29"/>
        <v>172.41379310344826</v>
      </c>
    </row>
    <row r="974" spans="6:10" ht="15">
      <c r="F974" s="30">
        <v>15</v>
      </c>
      <c r="G974" s="30">
        <v>9</v>
      </c>
      <c r="H974" s="30">
        <v>225</v>
      </c>
      <c r="I974" s="30">
        <f t="shared" si="28"/>
        <v>6525</v>
      </c>
      <c r="J974" s="33">
        <f t="shared" si="29"/>
        <v>153.2567049808429</v>
      </c>
    </row>
    <row r="975" spans="6:10" ht="15">
      <c r="F975" s="30">
        <v>15</v>
      </c>
      <c r="G975" s="30">
        <v>10</v>
      </c>
      <c r="H975" s="30">
        <v>250</v>
      </c>
      <c r="I975" s="30">
        <f t="shared" si="28"/>
        <v>7250</v>
      </c>
      <c r="J975" s="33">
        <f t="shared" si="29"/>
        <v>137.93103448275863</v>
      </c>
    </row>
    <row r="976" spans="6:10" ht="15">
      <c r="F976" s="30">
        <v>15</v>
      </c>
      <c r="G976" s="30">
        <v>11</v>
      </c>
      <c r="H976" s="30">
        <v>275</v>
      </c>
      <c r="I976" s="30">
        <f t="shared" si="28"/>
        <v>7975</v>
      </c>
      <c r="J976" s="33">
        <f t="shared" si="29"/>
        <v>125.39184952978057</v>
      </c>
    </row>
    <row r="977" spans="6:10" ht="15">
      <c r="F977" s="30">
        <v>15</v>
      </c>
      <c r="G977" s="30">
        <v>12</v>
      </c>
      <c r="H977" s="30">
        <v>300</v>
      </c>
      <c r="I977" s="30">
        <f t="shared" si="28"/>
        <v>8700</v>
      </c>
      <c r="J977" s="33">
        <f t="shared" si="29"/>
        <v>114.94252873563218</v>
      </c>
    </row>
    <row r="978" spans="6:10" ht="15">
      <c r="F978" s="30">
        <v>15</v>
      </c>
      <c r="G978" s="30">
        <v>13</v>
      </c>
      <c r="H978" s="30">
        <v>325</v>
      </c>
      <c r="I978" s="30">
        <f t="shared" si="28"/>
        <v>9425</v>
      </c>
      <c r="J978" s="33">
        <f t="shared" si="29"/>
        <v>106.10079575596818</v>
      </c>
    </row>
    <row r="979" spans="6:10" ht="15">
      <c r="F979" s="30">
        <v>15</v>
      </c>
      <c r="G979" s="30">
        <v>14</v>
      </c>
      <c r="H979" s="30">
        <v>350</v>
      </c>
      <c r="I979" s="30">
        <f t="shared" si="28"/>
        <v>10150</v>
      </c>
      <c r="J979" s="33">
        <f t="shared" si="29"/>
        <v>98.52216748768474</v>
      </c>
    </row>
    <row r="980" spans="6:10" ht="15">
      <c r="F980" s="30">
        <v>15</v>
      </c>
      <c r="G980" s="30">
        <v>15</v>
      </c>
      <c r="H980" s="30">
        <v>375</v>
      </c>
      <c r="I980" s="30">
        <f t="shared" si="28"/>
        <v>10875</v>
      </c>
      <c r="J980" s="33">
        <f t="shared" si="29"/>
        <v>91.954022988505741</v>
      </c>
    </row>
    <row r="981" spans="6:10" ht="15">
      <c r="F981" s="30">
        <v>15</v>
      </c>
      <c r="G981" s="30">
        <v>16</v>
      </c>
      <c r="H981" s="30">
        <v>400</v>
      </c>
      <c r="I981" s="30">
        <f t="shared" si="28"/>
        <v>11600</v>
      </c>
      <c r="J981" s="33">
        <f t="shared" si="29"/>
        <v>86.206896551724128</v>
      </c>
    </row>
    <row r="982" spans="6:10" ht="15">
      <c r="F982" s="30">
        <v>15</v>
      </c>
      <c r="G982" s="30">
        <v>17</v>
      </c>
      <c r="H982" s="30">
        <v>425</v>
      </c>
      <c r="I982" s="30">
        <f t="shared" si="28"/>
        <v>12325</v>
      </c>
      <c r="J982" s="33">
        <f t="shared" si="29"/>
        <v>81.135902636916825</v>
      </c>
    </row>
    <row r="983" spans="6:10" ht="15">
      <c r="F983" s="30">
        <v>15</v>
      </c>
      <c r="G983" s="30">
        <v>18</v>
      </c>
      <c r="H983" s="30">
        <v>450</v>
      </c>
      <c r="I983" s="30">
        <f t="shared" si="28"/>
        <v>13050</v>
      </c>
      <c r="J983" s="33">
        <f t="shared" si="29"/>
        <v>76.628352490421449</v>
      </c>
    </row>
    <row r="984" spans="6:10" ht="15">
      <c r="F984" s="30">
        <v>15</v>
      </c>
      <c r="G984" s="30">
        <v>19</v>
      </c>
      <c r="H984" s="30">
        <v>475</v>
      </c>
      <c r="I984" s="30">
        <f t="shared" si="28"/>
        <v>13775</v>
      </c>
      <c r="J984" s="33">
        <f t="shared" si="29"/>
        <v>72.595281306715066</v>
      </c>
    </row>
    <row r="985" spans="6:10" ht="15">
      <c r="F985" s="30">
        <v>15</v>
      </c>
      <c r="G985" s="30">
        <v>20</v>
      </c>
      <c r="H985" s="30">
        <v>500</v>
      </c>
      <c r="I985" s="30">
        <f t="shared" si="28"/>
        <v>14500</v>
      </c>
      <c r="J985" s="33">
        <f t="shared" si="29"/>
        <v>68.965517241379317</v>
      </c>
    </row>
    <row r="986" spans="6:10" ht="15">
      <c r="F986" s="30">
        <v>15</v>
      </c>
      <c r="G986" s="30">
        <v>21</v>
      </c>
      <c r="H986" s="30">
        <v>525</v>
      </c>
      <c r="I986" s="30">
        <f t="shared" si="28"/>
        <v>15225</v>
      </c>
      <c r="J986" s="33">
        <f t="shared" si="29"/>
        <v>65.681444991789817</v>
      </c>
    </row>
    <row r="987" spans="6:10" ht="15">
      <c r="F987" s="30">
        <v>15</v>
      </c>
      <c r="G987" s="30">
        <v>22</v>
      </c>
      <c r="H987" s="30">
        <v>550</v>
      </c>
      <c r="I987" s="30">
        <f t="shared" si="28"/>
        <v>15950</v>
      </c>
      <c r="J987" s="33">
        <f t="shared" si="29"/>
        <v>62.695924764890286</v>
      </c>
    </row>
    <row r="988" spans="6:10" ht="15">
      <c r="F988" s="30">
        <v>15</v>
      </c>
      <c r="G988" s="30">
        <v>23</v>
      </c>
      <c r="H988" s="30">
        <v>575</v>
      </c>
      <c r="I988" s="30">
        <f t="shared" si="28"/>
        <v>16675</v>
      </c>
      <c r="J988" s="33">
        <f t="shared" si="29"/>
        <v>59.970014992503749</v>
      </c>
    </row>
    <row r="989" spans="6:10" ht="15">
      <c r="F989" s="30">
        <v>15</v>
      </c>
      <c r="G989" s="30">
        <v>24</v>
      </c>
      <c r="H989" s="30">
        <v>600</v>
      </c>
      <c r="I989" s="30">
        <f t="shared" si="28"/>
        <v>17400</v>
      </c>
      <c r="J989" s="33">
        <f t="shared" si="29"/>
        <v>57.47126436781609</v>
      </c>
    </row>
    <row r="990" spans="6:10" ht="15">
      <c r="F990" s="30">
        <v>15</v>
      </c>
      <c r="G990" s="30">
        <v>25</v>
      </c>
      <c r="H990" s="30">
        <v>625</v>
      </c>
      <c r="I990" s="30">
        <f t="shared" si="28"/>
        <v>18125</v>
      </c>
      <c r="J990" s="33">
        <f t="shared" si="29"/>
        <v>55.172413793103445</v>
      </c>
    </row>
    <row r="991" spans="6:10" ht="15">
      <c r="F991" s="30">
        <v>15</v>
      </c>
      <c r="G991" s="30">
        <v>26</v>
      </c>
      <c r="H991" s="30">
        <v>650</v>
      </c>
      <c r="I991" s="30">
        <f t="shared" si="28"/>
        <v>18850</v>
      </c>
      <c r="J991" s="33">
        <f t="shared" si="29"/>
        <v>53.050397877984089</v>
      </c>
    </row>
    <row r="992" spans="6:10" ht="15">
      <c r="F992" s="30">
        <v>15</v>
      </c>
      <c r="G992" s="30">
        <v>27</v>
      </c>
      <c r="H992" s="30">
        <v>675</v>
      </c>
      <c r="I992" s="30">
        <f t="shared" si="28"/>
        <v>19575</v>
      </c>
      <c r="J992" s="33">
        <f t="shared" si="29"/>
        <v>51.085568326947637</v>
      </c>
    </row>
    <row r="993" spans="6:10" ht="15">
      <c r="F993" s="30">
        <v>15</v>
      </c>
      <c r="G993" s="30">
        <v>28</v>
      </c>
      <c r="H993" s="30">
        <v>700</v>
      </c>
      <c r="I993" s="30">
        <f t="shared" si="28"/>
        <v>20300</v>
      </c>
      <c r="J993" s="33">
        <f t="shared" si="29"/>
        <v>49.26108374384237</v>
      </c>
    </row>
    <row r="994" spans="6:10" ht="15">
      <c r="F994" s="30">
        <v>15</v>
      </c>
      <c r="G994" s="30">
        <v>29</v>
      </c>
      <c r="H994" s="30">
        <v>725</v>
      </c>
      <c r="I994" s="30">
        <f t="shared" si="28"/>
        <v>21025</v>
      </c>
      <c r="J994" s="33">
        <f t="shared" si="29"/>
        <v>47.562425683709868</v>
      </c>
    </row>
    <row r="995" spans="6:10" ht="15">
      <c r="F995" s="30">
        <v>15</v>
      </c>
      <c r="G995" s="30">
        <v>30</v>
      </c>
      <c r="H995" s="30">
        <v>750</v>
      </c>
      <c r="I995" s="30">
        <f t="shared" si="28"/>
        <v>21750</v>
      </c>
      <c r="J995" s="33">
        <f t="shared" si="29"/>
        <v>45.977011494252871</v>
      </c>
    </row>
    <row r="996" spans="6:10" ht="15">
      <c r="F996" s="30">
        <v>15</v>
      </c>
      <c r="G996" s="30">
        <v>31</v>
      </c>
      <c r="H996" s="30">
        <v>775</v>
      </c>
      <c r="I996" s="30">
        <f t="shared" si="28"/>
        <v>22475</v>
      </c>
      <c r="J996" s="33">
        <f t="shared" si="29"/>
        <v>44.493882091212463</v>
      </c>
    </row>
    <row r="997" spans="6:10" ht="15">
      <c r="F997" s="30">
        <v>15</v>
      </c>
      <c r="G997" s="30">
        <v>32</v>
      </c>
      <c r="H997" s="30">
        <v>800</v>
      </c>
      <c r="I997" s="30">
        <f t="shared" si="28"/>
        <v>23200</v>
      </c>
      <c r="J997" s="33">
        <f t="shared" si="29"/>
        <v>43.103448275862064</v>
      </c>
    </row>
    <row r="998" spans="6:10" ht="15">
      <c r="F998" s="30">
        <v>15</v>
      </c>
      <c r="G998" s="30">
        <v>33</v>
      </c>
      <c r="H998" s="30">
        <v>825</v>
      </c>
      <c r="I998" s="30">
        <f t="shared" si="28"/>
        <v>23925</v>
      </c>
      <c r="J998" s="33">
        <f t="shared" si="29"/>
        <v>41.797283176593524</v>
      </c>
    </row>
    <row r="999" spans="6:10" ht="15">
      <c r="F999" s="30">
        <v>15</v>
      </c>
      <c r="G999" s="30">
        <v>34</v>
      </c>
      <c r="H999" s="30">
        <v>850</v>
      </c>
      <c r="I999" s="30">
        <f t="shared" si="28"/>
        <v>24650</v>
      </c>
      <c r="J999" s="33">
        <f t="shared" si="29"/>
        <v>40.567951318458412</v>
      </c>
    </row>
    <row r="1000" spans="6:10" ht="15">
      <c r="F1000" s="30">
        <v>15</v>
      </c>
      <c r="G1000" s="30">
        <v>35</v>
      </c>
      <c r="H1000" s="30">
        <v>875</v>
      </c>
      <c r="I1000" s="30">
        <f t="shared" si="28"/>
        <v>25375</v>
      </c>
      <c r="J1000" s="33">
        <f t="shared" si="29"/>
        <v>39.408866995073893</v>
      </c>
    </row>
    <row r="1001" spans="6:10" ht="15">
      <c r="F1001" s="30">
        <v>15</v>
      </c>
      <c r="G1001" s="30">
        <v>36</v>
      </c>
      <c r="H1001" s="30">
        <v>900</v>
      </c>
      <c r="I1001" s="30">
        <f t="shared" si="28"/>
        <v>26100</v>
      </c>
      <c r="J1001" s="33">
        <f t="shared" si="29"/>
        <v>38.314176245210724</v>
      </c>
    </row>
    <row r="1002" spans="6:10" ht="15">
      <c r="F1002" s="30">
        <v>15</v>
      </c>
      <c r="G1002" s="30">
        <v>37</v>
      </c>
      <c r="H1002" s="30">
        <v>925</v>
      </c>
      <c r="I1002" s="30">
        <f t="shared" si="28"/>
        <v>26825</v>
      </c>
      <c r="J1002" s="33">
        <f t="shared" si="29"/>
        <v>37.278657968313141</v>
      </c>
    </row>
    <row r="1003" spans="6:10" ht="15">
      <c r="F1003" s="30">
        <v>15</v>
      </c>
      <c r="G1003" s="30">
        <v>38</v>
      </c>
      <c r="H1003" s="30">
        <v>950</v>
      </c>
      <c r="I1003" s="30">
        <f t="shared" si="28"/>
        <v>27550</v>
      </c>
      <c r="J1003" s="33">
        <f t="shared" si="29"/>
        <v>36.297640653357533</v>
      </c>
    </row>
    <row r="1004" spans="6:10" ht="15">
      <c r="F1004" s="30">
        <v>15</v>
      </c>
      <c r="G1004" s="30">
        <v>39</v>
      </c>
      <c r="H1004" s="30">
        <v>975</v>
      </c>
      <c r="I1004" s="30">
        <f t="shared" si="28"/>
        <v>28275</v>
      </c>
      <c r="J1004" s="33">
        <f t="shared" si="29"/>
        <v>35.366931918656057</v>
      </c>
    </row>
    <row r="1005" spans="6:10" ht="15">
      <c r="F1005" s="30">
        <v>15</v>
      </c>
      <c r="G1005" s="30">
        <v>40</v>
      </c>
      <c r="H1005" s="30">
        <v>1000</v>
      </c>
      <c r="I1005" s="30">
        <f t="shared" si="28"/>
        <v>29000</v>
      </c>
      <c r="J1005" s="33">
        <f t="shared" si="29"/>
        <v>34.482758620689658</v>
      </c>
    </row>
    <row r="1006" spans="6:10" ht="15">
      <c r="F1006" s="30">
        <v>15</v>
      </c>
      <c r="G1006" s="30">
        <v>41</v>
      </c>
      <c r="H1006" s="30">
        <v>1025</v>
      </c>
      <c r="I1006" s="30">
        <f t="shared" si="28"/>
        <v>29725</v>
      </c>
      <c r="J1006" s="33">
        <f t="shared" si="29"/>
        <v>33.641715727502103</v>
      </c>
    </row>
    <row r="1007" spans="6:10" ht="15">
      <c r="F1007" s="30">
        <v>15</v>
      </c>
      <c r="G1007" s="30">
        <v>42</v>
      </c>
      <c r="H1007" s="30">
        <v>1050</v>
      </c>
      <c r="I1007" s="30">
        <f t="shared" si="28"/>
        <v>30450</v>
      </c>
      <c r="J1007" s="33">
        <f t="shared" si="29"/>
        <v>32.840722495894909</v>
      </c>
    </row>
    <row r="1008" spans="6:10" ht="15">
      <c r="F1008" s="30">
        <v>15</v>
      </c>
      <c r="G1008" s="30">
        <v>43</v>
      </c>
      <c r="H1008" s="30">
        <v>1075</v>
      </c>
      <c r="I1008" s="30">
        <f t="shared" si="28"/>
        <v>31175</v>
      </c>
      <c r="J1008" s="33">
        <f t="shared" si="29"/>
        <v>32.076984763432243</v>
      </c>
    </row>
    <row r="1009" spans="6:10" ht="15">
      <c r="F1009" s="30">
        <v>15</v>
      </c>
      <c r="G1009" s="30">
        <v>44</v>
      </c>
      <c r="H1009" s="30">
        <v>1100</v>
      </c>
      <c r="I1009" s="30">
        <f t="shared" si="28"/>
        <v>31900</v>
      </c>
      <c r="J1009" s="33">
        <f t="shared" si="29"/>
        <v>31.347962382445143</v>
      </c>
    </row>
    <row r="1010" spans="6:10" ht="15">
      <c r="F1010" s="30">
        <v>15</v>
      </c>
      <c r="G1010" s="30">
        <v>45</v>
      </c>
      <c r="H1010" s="30">
        <v>1125</v>
      </c>
      <c r="I1010" s="30">
        <f t="shared" si="28"/>
        <v>32625</v>
      </c>
      <c r="J1010" s="33">
        <f t="shared" si="29"/>
        <v>30.651340996168578</v>
      </c>
    </row>
    <row r="1011" spans="6:10" ht="15">
      <c r="F1011" s="30">
        <v>15</v>
      </c>
      <c r="G1011" s="30">
        <v>46</v>
      </c>
      <c r="H1011" s="30">
        <v>1150</v>
      </c>
      <c r="I1011" s="30">
        <f t="shared" si="28"/>
        <v>33350</v>
      </c>
      <c r="J1011" s="33">
        <f t="shared" si="29"/>
        <v>29.985007496251875</v>
      </c>
    </row>
    <row r="1012" spans="6:10" ht="15">
      <c r="F1012" s="30">
        <v>15</v>
      </c>
      <c r="G1012" s="30">
        <v>47</v>
      </c>
      <c r="H1012" s="30">
        <v>1175</v>
      </c>
      <c r="I1012" s="30">
        <f t="shared" si="28"/>
        <v>34075</v>
      </c>
      <c r="J1012" s="33">
        <f t="shared" si="29"/>
        <v>29.347028613352897</v>
      </c>
    </row>
    <row r="1013" spans="6:10" ht="15">
      <c r="F1013" s="30">
        <v>15</v>
      </c>
      <c r="G1013" s="30">
        <v>48</v>
      </c>
      <c r="H1013" s="30">
        <v>1200</v>
      </c>
      <c r="I1013" s="30">
        <f t="shared" si="28"/>
        <v>34800</v>
      </c>
      <c r="J1013" s="33">
        <f t="shared" si="29"/>
        <v>28.735632183908045</v>
      </c>
    </row>
    <row r="1014" spans="6:10" ht="15">
      <c r="F1014" s="30">
        <v>15</v>
      </c>
      <c r="G1014" s="30">
        <v>49</v>
      </c>
      <c r="H1014" s="30">
        <v>1225</v>
      </c>
      <c r="I1014" s="30">
        <f t="shared" si="28"/>
        <v>35525</v>
      </c>
      <c r="J1014" s="33">
        <f t="shared" si="29"/>
        <v>28.149190710767066</v>
      </c>
    </row>
    <row r="1015" spans="6:10" ht="15">
      <c r="F1015" s="30">
        <v>15</v>
      </c>
      <c r="G1015" s="30">
        <v>50</v>
      </c>
      <c r="H1015" s="30">
        <v>1250</v>
      </c>
      <c r="I1015" s="30">
        <f t="shared" si="28"/>
        <v>36250</v>
      </c>
      <c r="J1015" s="33">
        <f t="shared" si="29"/>
        <v>27.586206896551722</v>
      </c>
    </row>
    <row r="1016" spans="6:10" ht="15">
      <c r="F1016" s="30">
        <v>15</v>
      </c>
      <c r="G1016" s="30">
        <v>51</v>
      </c>
      <c r="H1016" s="30">
        <v>1275</v>
      </c>
      <c r="I1016" s="30">
        <f t="shared" si="28"/>
        <v>36975</v>
      </c>
      <c r="J1016" s="33">
        <f t="shared" si="29"/>
        <v>27.045300878972281</v>
      </c>
    </row>
    <row r="1017" spans="6:10" ht="15">
      <c r="F1017" s="30">
        <v>15</v>
      </c>
      <c r="G1017" s="30">
        <v>52</v>
      </c>
      <c r="H1017" s="30">
        <v>1300</v>
      </c>
      <c r="I1017" s="30">
        <f t="shared" si="28"/>
        <v>37700</v>
      </c>
      <c r="J1017" s="33">
        <f t="shared" si="29"/>
        <v>26.525198938992045</v>
      </c>
    </row>
    <row r="1018" spans="6:10" ht="15">
      <c r="F1018" s="30">
        <v>15</v>
      </c>
      <c r="G1018" s="30">
        <v>53</v>
      </c>
      <c r="H1018" s="30">
        <v>1325</v>
      </c>
      <c r="I1018" s="30">
        <f t="shared" si="28"/>
        <v>38425</v>
      </c>
      <c r="J1018" s="33">
        <f t="shared" si="29"/>
        <v>26.024723487312947</v>
      </c>
    </row>
    <row r="1019" spans="6:10" ht="15">
      <c r="F1019" s="30">
        <v>15</v>
      </c>
      <c r="G1019" s="30">
        <v>54</v>
      </c>
      <c r="H1019" s="30">
        <v>1350</v>
      </c>
      <c r="I1019" s="30">
        <f t="shared" si="28"/>
        <v>39150</v>
      </c>
      <c r="J1019" s="33">
        <f t="shared" si="29"/>
        <v>25.542784163473819</v>
      </c>
    </row>
    <row r="1020" spans="6:10" ht="15">
      <c r="F1020" s="30">
        <v>15</v>
      </c>
      <c r="G1020" s="30">
        <v>55</v>
      </c>
      <c r="H1020" s="30">
        <v>1375</v>
      </c>
      <c r="I1020" s="30">
        <f t="shared" si="28"/>
        <v>39875</v>
      </c>
      <c r="J1020" s="33">
        <f t="shared" si="29"/>
        <v>25.078369905956112</v>
      </c>
    </row>
    <row r="1021" spans="6:10" ht="15">
      <c r="F1021" s="30">
        <v>15</v>
      </c>
      <c r="G1021" s="30">
        <v>56</v>
      </c>
      <c r="H1021" s="30">
        <v>1400</v>
      </c>
      <c r="I1021" s="30">
        <f t="shared" si="28"/>
        <v>40600</v>
      </c>
      <c r="J1021" s="33">
        <f t="shared" si="29"/>
        <v>24.630541871921185</v>
      </c>
    </row>
    <row r="1022" spans="6:10" ht="15">
      <c r="F1022" s="30">
        <v>15</v>
      </c>
      <c r="G1022" s="30">
        <v>57</v>
      </c>
      <c r="H1022" s="30">
        <v>1425</v>
      </c>
      <c r="I1022" s="30">
        <f t="shared" si="28"/>
        <v>41325</v>
      </c>
      <c r="J1022" s="33">
        <f t="shared" si="29"/>
        <v>24.198427102238352</v>
      </c>
    </row>
    <row r="1023" spans="6:10" ht="15">
      <c r="F1023" s="30">
        <v>15</v>
      </c>
      <c r="G1023" s="30">
        <v>58</v>
      </c>
      <c r="H1023" s="30">
        <v>1450</v>
      </c>
      <c r="I1023" s="30">
        <f t="shared" si="28"/>
        <v>42050</v>
      </c>
      <c r="J1023" s="33">
        <f t="shared" si="29"/>
        <v>23.781212841854934</v>
      </c>
    </row>
    <row r="1024" spans="6:10" ht="15">
      <c r="F1024" s="30">
        <v>15</v>
      </c>
      <c r="G1024" s="30">
        <v>59</v>
      </c>
      <c r="H1024" s="30">
        <v>1475</v>
      </c>
      <c r="I1024" s="30">
        <f t="shared" si="28"/>
        <v>42775</v>
      </c>
      <c r="J1024" s="33">
        <f t="shared" si="29"/>
        <v>23.378141437755698</v>
      </c>
    </row>
    <row r="1025" spans="6:10" ht="15">
      <c r="F1025" s="30">
        <v>15</v>
      </c>
      <c r="G1025" s="30">
        <v>60</v>
      </c>
      <c r="H1025" s="30">
        <v>1500</v>
      </c>
      <c r="I1025" s="30">
        <f t="shared" si="28"/>
        <v>43500</v>
      </c>
      <c r="J1025" s="33">
        <f t="shared" si="29"/>
        <v>22.988505747126435</v>
      </c>
    </row>
    <row r="1026" spans="6:10" ht="15">
      <c r="F1026" s="30">
        <v>15</v>
      </c>
      <c r="G1026" s="30">
        <v>61</v>
      </c>
      <c r="H1026" s="30">
        <v>1525</v>
      </c>
      <c r="I1026" s="30">
        <f t="shared" si="28"/>
        <v>44225</v>
      </c>
      <c r="J1026" s="33">
        <f t="shared" si="29"/>
        <v>22.611644997173546</v>
      </c>
    </row>
    <row r="1027" spans="6:10" ht="15">
      <c r="F1027" s="30">
        <v>15</v>
      </c>
      <c r="G1027" s="30">
        <v>62</v>
      </c>
      <c r="H1027" s="30">
        <v>1550</v>
      </c>
      <c r="I1027" s="30">
        <f t="shared" si="28"/>
        <v>44950</v>
      </c>
      <c r="J1027" s="33">
        <f t="shared" si="29"/>
        <v>22.246941045606231</v>
      </c>
    </row>
    <row r="1028" spans="6:10" ht="15">
      <c r="F1028" s="30">
        <v>15</v>
      </c>
      <c r="G1028" s="30">
        <v>63</v>
      </c>
      <c r="H1028" s="30">
        <v>1575</v>
      </c>
      <c r="I1028" s="30">
        <f t="shared" si="28"/>
        <v>45675</v>
      </c>
      <c r="J1028" s="33">
        <f t="shared" si="29"/>
        <v>21.89381499726327</v>
      </c>
    </row>
    <row r="1029" spans="6:10" ht="15">
      <c r="F1029" s="30">
        <v>15</v>
      </c>
      <c r="G1029" s="30">
        <v>64</v>
      </c>
      <c r="H1029" s="30">
        <v>1600</v>
      </c>
      <c r="I1029" s="30">
        <f t="shared" si="28"/>
        <v>46400</v>
      </c>
      <c r="J1029" s="33">
        <f t="shared" si="29"/>
        <v>21.551724137931032</v>
      </c>
    </row>
    <row r="1030" spans="6:10" ht="15">
      <c r="F1030" s="30">
        <v>16</v>
      </c>
      <c r="G1030" s="30">
        <v>1</v>
      </c>
      <c r="H1030" s="30">
        <v>25</v>
      </c>
      <c r="I1030" s="30">
        <f t="shared" si="28"/>
        <v>750</v>
      </c>
      <c r="J1030" s="33">
        <f t="shared" si="29"/>
        <v>1333.3333333333333</v>
      </c>
    </row>
    <row r="1031" spans="6:10" ht="15">
      <c r="F1031" s="30">
        <v>16</v>
      </c>
      <c r="G1031" s="30">
        <v>2</v>
      </c>
      <c r="H1031" s="30">
        <v>50</v>
      </c>
      <c r="I1031" s="30">
        <f t="shared" ref="I1031:I1094" si="30">(14+F1031)*H1031</f>
        <v>1500</v>
      </c>
      <c r="J1031" s="33">
        <f t="shared" ref="J1031:J1094" si="31">(1/I1031)*1000000</f>
        <v>666.66666666666663</v>
      </c>
    </row>
    <row r="1032" spans="6:10" ht="15">
      <c r="F1032" s="30">
        <v>16</v>
      </c>
      <c r="G1032" s="30">
        <v>3</v>
      </c>
      <c r="H1032" s="30">
        <v>75</v>
      </c>
      <c r="I1032" s="30">
        <f t="shared" si="30"/>
        <v>2250</v>
      </c>
      <c r="J1032" s="33">
        <f t="shared" si="31"/>
        <v>444.44444444444446</v>
      </c>
    </row>
    <row r="1033" spans="6:10" ht="15">
      <c r="F1033" s="30">
        <v>16</v>
      </c>
      <c r="G1033" s="30">
        <v>4</v>
      </c>
      <c r="H1033" s="30">
        <v>100</v>
      </c>
      <c r="I1033" s="30">
        <f t="shared" si="30"/>
        <v>3000</v>
      </c>
      <c r="J1033" s="33">
        <f t="shared" si="31"/>
        <v>333.33333333333331</v>
      </c>
    </row>
    <row r="1034" spans="6:10" ht="15">
      <c r="F1034" s="30">
        <v>16</v>
      </c>
      <c r="G1034" s="30">
        <v>5</v>
      </c>
      <c r="H1034" s="30">
        <v>125</v>
      </c>
      <c r="I1034" s="30">
        <f t="shared" si="30"/>
        <v>3750</v>
      </c>
      <c r="J1034" s="33">
        <f t="shared" si="31"/>
        <v>266.66666666666669</v>
      </c>
    </row>
    <row r="1035" spans="6:10" ht="15">
      <c r="F1035" s="30">
        <v>16</v>
      </c>
      <c r="G1035" s="30">
        <v>6</v>
      </c>
      <c r="H1035" s="30">
        <v>150</v>
      </c>
      <c r="I1035" s="30">
        <f t="shared" si="30"/>
        <v>4500</v>
      </c>
      <c r="J1035" s="33">
        <f t="shared" si="31"/>
        <v>222.22222222222223</v>
      </c>
    </row>
    <row r="1036" spans="6:10" ht="15">
      <c r="F1036" s="30">
        <v>16</v>
      </c>
      <c r="G1036" s="30">
        <v>7</v>
      </c>
      <c r="H1036" s="30">
        <v>175</v>
      </c>
      <c r="I1036" s="30">
        <f t="shared" si="30"/>
        <v>5250</v>
      </c>
      <c r="J1036" s="33">
        <f t="shared" si="31"/>
        <v>190.47619047619048</v>
      </c>
    </row>
    <row r="1037" spans="6:10" ht="15">
      <c r="F1037" s="30">
        <v>16</v>
      </c>
      <c r="G1037" s="30">
        <v>8</v>
      </c>
      <c r="H1037" s="30">
        <v>200</v>
      </c>
      <c r="I1037" s="30">
        <f t="shared" si="30"/>
        <v>6000</v>
      </c>
      <c r="J1037" s="33">
        <f t="shared" si="31"/>
        <v>166.66666666666666</v>
      </c>
    </row>
    <row r="1038" spans="6:10" ht="15">
      <c r="F1038" s="30">
        <v>16</v>
      </c>
      <c r="G1038" s="30">
        <v>9</v>
      </c>
      <c r="H1038" s="30">
        <v>225</v>
      </c>
      <c r="I1038" s="30">
        <f t="shared" si="30"/>
        <v>6750</v>
      </c>
      <c r="J1038" s="33">
        <f t="shared" si="31"/>
        <v>148.14814814814815</v>
      </c>
    </row>
    <row r="1039" spans="6:10" ht="15">
      <c r="F1039" s="30">
        <v>16</v>
      </c>
      <c r="G1039" s="30">
        <v>10</v>
      </c>
      <c r="H1039" s="30">
        <v>250</v>
      </c>
      <c r="I1039" s="30">
        <f t="shared" si="30"/>
        <v>7500</v>
      </c>
      <c r="J1039" s="33">
        <f t="shared" si="31"/>
        <v>133.33333333333334</v>
      </c>
    </row>
    <row r="1040" spans="6:10" ht="15">
      <c r="F1040" s="30">
        <v>16</v>
      </c>
      <c r="G1040" s="30">
        <v>11</v>
      </c>
      <c r="H1040" s="30">
        <v>275</v>
      </c>
      <c r="I1040" s="30">
        <f t="shared" si="30"/>
        <v>8250</v>
      </c>
      <c r="J1040" s="33">
        <f t="shared" si="31"/>
        <v>121.2121212121212</v>
      </c>
    </row>
    <row r="1041" spans="6:10" ht="15">
      <c r="F1041" s="30">
        <v>16</v>
      </c>
      <c r="G1041" s="30">
        <v>12</v>
      </c>
      <c r="H1041" s="30">
        <v>300</v>
      </c>
      <c r="I1041" s="30">
        <f t="shared" si="30"/>
        <v>9000</v>
      </c>
      <c r="J1041" s="33">
        <f t="shared" si="31"/>
        <v>111.11111111111111</v>
      </c>
    </row>
    <row r="1042" spans="6:10" ht="15">
      <c r="F1042" s="30">
        <v>16</v>
      </c>
      <c r="G1042" s="30">
        <v>13</v>
      </c>
      <c r="H1042" s="30">
        <v>325</v>
      </c>
      <c r="I1042" s="30">
        <f t="shared" si="30"/>
        <v>9750</v>
      </c>
      <c r="J1042" s="33">
        <f t="shared" si="31"/>
        <v>102.56410256410255</v>
      </c>
    </row>
    <row r="1043" spans="6:10" ht="15">
      <c r="F1043" s="30">
        <v>16</v>
      </c>
      <c r="G1043" s="30">
        <v>14</v>
      </c>
      <c r="H1043" s="30">
        <v>350</v>
      </c>
      <c r="I1043" s="30">
        <f t="shared" si="30"/>
        <v>10500</v>
      </c>
      <c r="J1043" s="33">
        <f t="shared" si="31"/>
        <v>95.238095238095241</v>
      </c>
    </row>
    <row r="1044" spans="6:10" ht="15">
      <c r="F1044" s="30">
        <v>16</v>
      </c>
      <c r="G1044" s="30">
        <v>15</v>
      </c>
      <c r="H1044" s="30">
        <v>375</v>
      </c>
      <c r="I1044" s="30">
        <f t="shared" si="30"/>
        <v>11250</v>
      </c>
      <c r="J1044" s="33">
        <f t="shared" si="31"/>
        <v>88.8888888888889</v>
      </c>
    </row>
    <row r="1045" spans="6:10" ht="15">
      <c r="F1045" s="30">
        <v>16</v>
      </c>
      <c r="G1045" s="30">
        <v>16</v>
      </c>
      <c r="H1045" s="30">
        <v>400</v>
      </c>
      <c r="I1045" s="30">
        <f t="shared" si="30"/>
        <v>12000</v>
      </c>
      <c r="J1045" s="33">
        <f t="shared" si="31"/>
        <v>83.333333333333329</v>
      </c>
    </row>
    <row r="1046" spans="6:10" ht="15">
      <c r="F1046" s="30">
        <v>16</v>
      </c>
      <c r="G1046" s="30">
        <v>17</v>
      </c>
      <c r="H1046" s="30">
        <v>425</v>
      </c>
      <c r="I1046" s="30">
        <f t="shared" si="30"/>
        <v>12750</v>
      </c>
      <c r="J1046" s="33">
        <f t="shared" si="31"/>
        <v>78.431372549019613</v>
      </c>
    </row>
    <row r="1047" spans="6:10" ht="15">
      <c r="F1047" s="30">
        <v>16</v>
      </c>
      <c r="G1047" s="30">
        <v>18</v>
      </c>
      <c r="H1047" s="30">
        <v>450</v>
      </c>
      <c r="I1047" s="30">
        <f t="shared" si="30"/>
        <v>13500</v>
      </c>
      <c r="J1047" s="33">
        <f t="shared" si="31"/>
        <v>74.074074074074076</v>
      </c>
    </row>
    <row r="1048" spans="6:10" ht="15">
      <c r="F1048" s="30">
        <v>16</v>
      </c>
      <c r="G1048" s="30">
        <v>19</v>
      </c>
      <c r="H1048" s="30">
        <v>475</v>
      </c>
      <c r="I1048" s="30">
        <f t="shared" si="30"/>
        <v>14250</v>
      </c>
      <c r="J1048" s="33">
        <f t="shared" si="31"/>
        <v>70.175438596491219</v>
      </c>
    </row>
    <row r="1049" spans="6:10" ht="15">
      <c r="F1049" s="30">
        <v>16</v>
      </c>
      <c r="G1049" s="30">
        <v>20</v>
      </c>
      <c r="H1049" s="30">
        <v>500</v>
      </c>
      <c r="I1049" s="30">
        <f t="shared" si="30"/>
        <v>15000</v>
      </c>
      <c r="J1049" s="33">
        <f t="shared" si="31"/>
        <v>66.666666666666671</v>
      </c>
    </row>
    <row r="1050" spans="6:10" ht="15">
      <c r="F1050" s="30">
        <v>16</v>
      </c>
      <c r="G1050" s="30">
        <v>21</v>
      </c>
      <c r="H1050" s="30">
        <v>525</v>
      </c>
      <c r="I1050" s="30">
        <f t="shared" si="30"/>
        <v>15750</v>
      </c>
      <c r="J1050" s="33">
        <f t="shared" si="31"/>
        <v>63.492063492063487</v>
      </c>
    </row>
    <row r="1051" spans="6:10" ht="15">
      <c r="F1051" s="30">
        <v>16</v>
      </c>
      <c r="G1051" s="30">
        <v>22</v>
      </c>
      <c r="H1051" s="30">
        <v>550</v>
      </c>
      <c r="I1051" s="30">
        <f t="shared" si="30"/>
        <v>16500</v>
      </c>
      <c r="J1051" s="33">
        <f t="shared" si="31"/>
        <v>60.606060606060602</v>
      </c>
    </row>
    <row r="1052" spans="6:10" ht="15">
      <c r="F1052" s="30">
        <v>16</v>
      </c>
      <c r="G1052" s="30">
        <v>23</v>
      </c>
      <c r="H1052" s="30">
        <v>575</v>
      </c>
      <c r="I1052" s="30">
        <f t="shared" si="30"/>
        <v>17250</v>
      </c>
      <c r="J1052" s="33">
        <f t="shared" si="31"/>
        <v>57.971014492753618</v>
      </c>
    </row>
    <row r="1053" spans="6:10" ht="15">
      <c r="F1053" s="30">
        <v>16</v>
      </c>
      <c r="G1053" s="30">
        <v>24</v>
      </c>
      <c r="H1053" s="30">
        <v>600</v>
      </c>
      <c r="I1053" s="30">
        <f t="shared" si="30"/>
        <v>18000</v>
      </c>
      <c r="J1053" s="33">
        <f t="shared" si="31"/>
        <v>55.555555555555557</v>
      </c>
    </row>
    <row r="1054" spans="6:10" ht="15">
      <c r="F1054" s="30">
        <v>16</v>
      </c>
      <c r="G1054" s="30">
        <v>25</v>
      </c>
      <c r="H1054" s="30">
        <v>625</v>
      </c>
      <c r="I1054" s="30">
        <f t="shared" si="30"/>
        <v>18750</v>
      </c>
      <c r="J1054" s="33">
        <f t="shared" si="31"/>
        <v>53.333333333333336</v>
      </c>
    </row>
    <row r="1055" spans="6:10" ht="15">
      <c r="F1055" s="30">
        <v>16</v>
      </c>
      <c r="G1055" s="30">
        <v>26</v>
      </c>
      <c r="H1055" s="30">
        <v>650</v>
      </c>
      <c r="I1055" s="30">
        <f t="shared" si="30"/>
        <v>19500</v>
      </c>
      <c r="J1055" s="33">
        <f t="shared" si="31"/>
        <v>51.282051282051277</v>
      </c>
    </row>
    <row r="1056" spans="6:10" ht="15">
      <c r="F1056" s="30">
        <v>16</v>
      </c>
      <c r="G1056" s="30">
        <v>27</v>
      </c>
      <c r="H1056" s="30">
        <v>675</v>
      </c>
      <c r="I1056" s="30">
        <f t="shared" si="30"/>
        <v>20250</v>
      </c>
      <c r="J1056" s="33">
        <f t="shared" si="31"/>
        <v>49.382716049382715</v>
      </c>
    </row>
    <row r="1057" spans="6:10" ht="15">
      <c r="F1057" s="30">
        <v>16</v>
      </c>
      <c r="G1057" s="30">
        <v>28</v>
      </c>
      <c r="H1057" s="30">
        <v>700</v>
      </c>
      <c r="I1057" s="30">
        <f t="shared" si="30"/>
        <v>21000</v>
      </c>
      <c r="J1057" s="33">
        <f t="shared" si="31"/>
        <v>47.61904761904762</v>
      </c>
    </row>
    <row r="1058" spans="6:10" ht="15">
      <c r="F1058" s="30">
        <v>16</v>
      </c>
      <c r="G1058" s="30">
        <v>29</v>
      </c>
      <c r="H1058" s="30">
        <v>725</v>
      </c>
      <c r="I1058" s="30">
        <f t="shared" si="30"/>
        <v>21750</v>
      </c>
      <c r="J1058" s="33">
        <f t="shared" si="31"/>
        <v>45.977011494252871</v>
      </c>
    </row>
    <row r="1059" spans="6:10" ht="15">
      <c r="F1059" s="30">
        <v>16</v>
      </c>
      <c r="G1059" s="30">
        <v>30</v>
      </c>
      <c r="H1059" s="30">
        <v>750</v>
      </c>
      <c r="I1059" s="30">
        <f t="shared" si="30"/>
        <v>22500</v>
      </c>
      <c r="J1059" s="33">
        <f t="shared" si="31"/>
        <v>44.44444444444445</v>
      </c>
    </row>
    <row r="1060" spans="6:10" ht="15">
      <c r="F1060" s="30">
        <v>16</v>
      </c>
      <c r="G1060" s="30">
        <v>31</v>
      </c>
      <c r="H1060" s="30">
        <v>775</v>
      </c>
      <c r="I1060" s="30">
        <f t="shared" si="30"/>
        <v>23250</v>
      </c>
      <c r="J1060" s="33">
        <f t="shared" si="31"/>
        <v>43.01075268817204</v>
      </c>
    </row>
    <row r="1061" spans="6:10" ht="15">
      <c r="F1061" s="30">
        <v>16</v>
      </c>
      <c r="G1061" s="30">
        <v>32</v>
      </c>
      <c r="H1061" s="30">
        <v>800</v>
      </c>
      <c r="I1061" s="30">
        <f t="shared" si="30"/>
        <v>24000</v>
      </c>
      <c r="J1061" s="33">
        <f t="shared" si="31"/>
        <v>41.666666666666664</v>
      </c>
    </row>
    <row r="1062" spans="6:10" ht="15">
      <c r="F1062" s="30">
        <v>16</v>
      </c>
      <c r="G1062" s="30">
        <v>33</v>
      </c>
      <c r="H1062" s="30">
        <v>825</v>
      </c>
      <c r="I1062" s="30">
        <f t="shared" si="30"/>
        <v>24750</v>
      </c>
      <c r="J1062" s="33">
        <f t="shared" si="31"/>
        <v>40.404040404040408</v>
      </c>
    </row>
    <row r="1063" spans="6:10" ht="15">
      <c r="F1063" s="30">
        <v>16</v>
      </c>
      <c r="G1063" s="30">
        <v>34</v>
      </c>
      <c r="H1063" s="30">
        <v>850</v>
      </c>
      <c r="I1063" s="30">
        <f t="shared" si="30"/>
        <v>25500</v>
      </c>
      <c r="J1063" s="33">
        <f t="shared" si="31"/>
        <v>39.215686274509807</v>
      </c>
    </row>
    <row r="1064" spans="6:10" ht="15">
      <c r="F1064" s="30">
        <v>16</v>
      </c>
      <c r="G1064" s="30">
        <v>35</v>
      </c>
      <c r="H1064" s="30">
        <v>875</v>
      </c>
      <c r="I1064" s="30">
        <f t="shared" si="30"/>
        <v>26250</v>
      </c>
      <c r="J1064" s="33">
        <f t="shared" si="31"/>
        <v>38.095238095238095</v>
      </c>
    </row>
    <row r="1065" spans="6:10" ht="15">
      <c r="F1065" s="30">
        <v>16</v>
      </c>
      <c r="G1065" s="30">
        <v>36</v>
      </c>
      <c r="H1065" s="30">
        <v>900</v>
      </c>
      <c r="I1065" s="30">
        <f t="shared" si="30"/>
        <v>27000</v>
      </c>
      <c r="J1065" s="33">
        <f t="shared" si="31"/>
        <v>37.037037037037038</v>
      </c>
    </row>
    <row r="1066" spans="6:10" ht="15">
      <c r="F1066" s="30">
        <v>16</v>
      </c>
      <c r="G1066" s="30">
        <v>37</v>
      </c>
      <c r="H1066" s="30">
        <v>925</v>
      </c>
      <c r="I1066" s="30">
        <f t="shared" si="30"/>
        <v>27750</v>
      </c>
      <c r="J1066" s="33">
        <f t="shared" si="31"/>
        <v>36.036036036036037</v>
      </c>
    </row>
    <row r="1067" spans="6:10" ht="15">
      <c r="F1067" s="30">
        <v>16</v>
      </c>
      <c r="G1067" s="30">
        <v>38</v>
      </c>
      <c r="H1067" s="30">
        <v>950</v>
      </c>
      <c r="I1067" s="30">
        <f t="shared" si="30"/>
        <v>28500</v>
      </c>
      <c r="J1067" s="33">
        <f t="shared" si="31"/>
        <v>35.087719298245609</v>
      </c>
    </row>
    <row r="1068" spans="6:10" ht="15">
      <c r="F1068" s="30">
        <v>16</v>
      </c>
      <c r="G1068" s="30">
        <v>39</v>
      </c>
      <c r="H1068" s="30">
        <v>975</v>
      </c>
      <c r="I1068" s="30">
        <f t="shared" si="30"/>
        <v>29250</v>
      </c>
      <c r="J1068" s="33">
        <f t="shared" si="31"/>
        <v>34.188034188034187</v>
      </c>
    </row>
    <row r="1069" spans="6:10" ht="15">
      <c r="F1069" s="30">
        <v>16</v>
      </c>
      <c r="G1069" s="30">
        <v>40</v>
      </c>
      <c r="H1069" s="30">
        <v>1000</v>
      </c>
      <c r="I1069" s="30">
        <f t="shared" si="30"/>
        <v>30000</v>
      </c>
      <c r="J1069" s="33">
        <f t="shared" si="31"/>
        <v>33.333333333333336</v>
      </c>
    </row>
    <row r="1070" spans="6:10" ht="15">
      <c r="F1070" s="30">
        <v>16</v>
      </c>
      <c r="G1070" s="30">
        <v>41</v>
      </c>
      <c r="H1070" s="30">
        <v>1025</v>
      </c>
      <c r="I1070" s="30">
        <f t="shared" si="30"/>
        <v>30750</v>
      </c>
      <c r="J1070" s="33">
        <f t="shared" si="31"/>
        <v>32.520325203252028</v>
      </c>
    </row>
    <row r="1071" spans="6:10" ht="15">
      <c r="F1071" s="30">
        <v>16</v>
      </c>
      <c r="G1071" s="30">
        <v>42</v>
      </c>
      <c r="H1071" s="30">
        <v>1050</v>
      </c>
      <c r="I1071" s="30">
        <f t="shared" si="30"/>
        <v>31500</v>
      </c>
      <c r="J1071" s="33">
        <f t="shared" si="31"/>
        <v>31.746031746031743</v>
      </c>
    </row>
    <row r="1072" spans="6:10" ht="15">
      <c r="F1072" s="30">
        <v>16</v>
      </c>
      <c r="G1072" s="30">
        <v>43</v>
      </c>
      <c r="H1072" s="30">
        <v>1075</v>
      </c>
      <c r="I1072" s="30">
        <f t="shared" si="30"/>
        <v>32250</v>
      </c>
      <c r="J1072" s="33">
        <f t="shared" si="31"/>
        <v>31.007751937984498</v>
      </c>
    </row>
    <row r="1073" spans="6:10" ht="15">
      <c r="F1073" s="30">
        <v>16</v>
      </c>
      <c r="G1073" s="30">
        <v>44</v>
      </c>
      <c r="H1073" s="30">
        <v>1100</v>
      </c>
      <c r="I1073" s="30">
        <f t="shared" si="30"/>
        <v>33000</v>
      </c>
      <c r="J1073" s="33">
        <f t="shared" si="31"/>
        <v>30.303030303030301</v>
      </c>
    </row>
    <row r="1074" spans="6:10" ht="15">
      <c r="F1074" s="30">
        <v>16</v>
      </c>
      <c r="G1074" s="30">
        <v>45</v>
      </c>
      <c r="H1074" s="30">
        <v>1125</v>
      </c>
      <c r="I1074" s="30">
        <f t="shared" si="30"/>
        <v>33750</v>
      </c>
      <c r="J1074" s="33">
        <f t="shared" si="31"/>
        <v>29.62962962962963</v>
      </c>
    </row>
    <row r="1075" spans="6:10" ht="15">
      <c r="F1075" s="30">
        <v>16</v>
      </c>
      <c r="G1075" s="30">
        <v>46</v>
      </c>
      <c r="H1075" s="30">
        <v>1150</v>
      </c>
      <c r="I1075" s="30">
        <f t="shared" si="30"/>
        <v>34500</v>
      </c>
      <c r="J1075" s="33">
        <f t="shared" si="31"/>
        <v>28.985507246376809</v>
      </c>
    </row>
    <row r="1076" spans="6:10" ht="15">
      <c r="F1076" s="30">
        <v>16</v>
      </c>
      <c r="G1076" s="30">
        <v>47</v>
      </c>
      <c r="H1076" s="30">
        <v>1175</v>
      </c>
      <c r="I1076" s="30">
        <f t="shared" si="30"/>
        <v>35250</v>
      </c>
      <c r="J1076" s="33">
        <f t="shared" si="31"/>
        <v>28.368794326241137</v>
      </c>
    </row>
    <row r="1077" spans="6:10" ht="15">
      <c r="F1077" s="30">
        <v>16</v>
      </c>
      <c r="G1077" s="30">
        <v>48</v>
      </c>
      <c r="H1077" s="30">
        <v>1200</v>
      </c>
      <c r="I1077" s="30">
        <f t="shared" si="30"/>
        <v>36000</v>
      </c>
      <c r="J1077" s="33">
        <f t="shared" si="31"/>
        <v>27.777777777777779</v>
      </c>
    </row>
    <row r="1078" spans="6:10" ht="15">
      <c r="F1078" s="30">
        <v>16</v>
      </c>
      <c r="G1078" s="30">
        <v>49</v>
      </c>
      <c r="H1078" s="30">
        <v>1225</v>
      </c>
      <c r="I1078" s="30">
        <f t="shared" si="30"/>
        <v>36750</v>
      </c>
      <c r="J1078" s="33">
        <f t="shared" si="31"/>
        <v>27.210884353741498</v>
      </c>
    </row>
    <row r="1079" spans="6:10" ht="15">
      <c r="F1079" s="30">
        <v>16</v>
      </c>
      <c r="G1079" s="30">
        <v>50</v>
      </c>
      <c r="H1079" s="30">
        <v>1250</v>
      </c>
      <c r="I1079" s="30">
        <f t="shared" si="30"/>
        <v>37500</v>
      </c>
      <c r="J1079" s="33">
        <f t="shared" si="31"/>
        <v>26.666666666666668</v>
      </c>
    </row>
    <row r="1080" spans="6:10" ht="15">
      <c r="F1080" s="30">
        <v>16</v>
      </c>
      <c r="G1080" s="30">
        <v>51</v>
      </c>
      <c r="H1080" s="30">
        <v>1275</v>
      </c>
      <c r="I1080" s="30">
        <f t="shared" si="30"/>
        <v>38250</v>
      </c>
      <c r="J1080" s="33">
        <f t="shared" si="31"/>
        <v>26.143790849673202</v>
      </c>
    </row>
    <row r="1081" spans="6:10" ht="15">
      <c r="F1081" s="30">
        <v>16</v>
      </c>
      <c r="G1081" s="30">
        <v>52</v>
      </c>
      <c r="H1081" s="30">
        <v>1300</v>
      </c>
      <c r="I1081" s="30">
        <f t="shared" si="30"/>
        <v>39000</v>
      </c>
      <c r="J1081" s="33">
        <f t="shared" si="31"/>
        <v>25.641025641025639</v>
      </c>
    </row>
    <row r="1082" spans="6:10" ht="15">
      <c r="F1082" s="30">
        <v>16</v>
      </c>
      <c r="G1082" s="30">
        <v>53</v>
      </c>
      <c r="H1082" s="30">
        <v>1325</v>
      </c>
      <c r="I1082" s="30">
        <f t="shared" si="30"/>
        <v>39750</v>
      </c>
      <c r="J1082" s="33">
        <f t="shared" si="31"/>
        <v>25.157232704402517</v>
      </c>
    </row>
    <row r="1083" spans="6:10" ht="15">
      <c r="F1083" s="30">
        <v>16</v>
      </c>
      <c r="G1083" s="30">
        <v>54</v>
      </c>
      <c r="H1083" s="30">
        <v>1350</v>
      </c>
      <c r="I1083" s="30">
        <f t="shared" si="30"/>
        <v>40500</v>
      </c>
      <c r="J1083" s="33">
        <f t="shared" si="31"/>
        <v>24.691358024691358</v>
      </c>
    </row>
    <row r="1084" spans="6:10" ht="15">
      <c r="F1084" s="30">
        <v>16</v>
      </c>
      <c r="G1084" s="30">
        <v>55</v>
      </c>
      <c r="H1084" s="30">
        <v>1375</v>
      </c>
      <c r="I1084" s="30">
        <f t="shared" si="30"/>
        <v>41250</v>
      </c>
      <c r="J1084" s="33">
        <f t="shared" si="31"/>
        <v>24.242424242424242</v>
      </c>
    </row>
    <row r="1085" spans="6:10" ht="15">
      <c r="F1085" s="30">
        <v>16</v>
      </c>
      <c r="G1085" s="30">
        <v>56</v>
      </c>
      <c r="H1085" s="30">
        <v>1400</v>
      </c>
      <c r="I1085" s="30">
        <f t="shared" si="30"/>
        <v>42000</v>
      </c>
      <c r="J1085" s="33">
        <f t="shared" si="31"/>
        <v>23.80952380952381</v>
      </c>
    </row>
    <row r="1086" spans="6:10" ht="15">
      <c r="F1086" s="30">
        <v>16</v>
      </c>
      <c r="G1086" s="30">
        <v>57</v>
      </c>
      <c r="H1086" s="30">
        <v>1425</v>
      </c>
      <c r="I1086" s="30">
        <f t="shared" si="30"/>
        <v>42750</v>
      </c>
      <c r="J1086" s="33">
        <f t="shared" si="31"/>
        <v>23.391812865497077</v>
      </c>
    </row>
    <row r="1087" spans="6:10" ht="15">
      <c r="F1087" s="30">
        <v>16</v>
      </c>
      <c r="G1087" s="30">
        <v>58</v>
      </c>
      <c r="H1087" s="30">
        <v>1450</v>
      </c>
      <c r="I1087" s="30">
        <f t="shared" si="30"/>
        <v>43500</v>
      </c>
      <c r="J1087" s="33">
        <f t="shared" si="31"/>
        <v>22.988505747126435</v>
      </c>
    </row>
    <row r="1088" spans="6:10" ht="15">
      <c r="F1088" s="30">
        <v>16</v>
      </c>
      <c r="G1088" s="30">
        <v>59</v>
      </c>
      <c r="H1088" s="30">
        <v>1475</v>
      </c>
      <c r="I1088" s="30">
        <f t="shared" si="30"/>
        <v>44250</v>
      </c>
      <c r="J1088" s="33">
        <f t="shared" si="31"/>
        <v>22.598870056497177</v>
      </c>
    </row>
    <row r="1089" spans="6:10" ht="15">
      <c r="F1089" s="30">
        <v>16</v>
      </c>
      <c r="G1089" s="30">
        <v>60</v>
      </c>
      <c r="H1089" s="30">
        <v>1500</v>
      </c>
      <c r="I1089" s="30">
        <f t="shared" si="30"/>
        <v>45000</v>
      </c>
      <c r="J1089" s="33">
        <f t="shared" si="31"/>
        <v>22.222222222222225</v>
      </c>
    </row>
    <row r="1090" spans="6:10" ht="15">
      <c r="F1090" s="30">
        <v>16</v>
      </c>
      <c r="G1090" s="30">
        <v>61</v>
      </c>
      <c r="H1090" s="30">
        <v>1525</v>
      </c>
      <c r="I1090" s="30">
        <f t="shared" si="30"/>
        <v>45750</v>
      </c>
      <c r="J1090" s="33">
        <f t="shared" si="31"/>
        <v>21.857923497267759</v>
      </c>
    </row>
    <row r="1091" spans="6:10" ht="15">
      <c r="F1091" s="30">
        <v>16</v>
      </c>
      <c r="G1091" s="30">
        <v>62</v>
      </c>
      <c r="H1091" s="30">
        <v>1550</v>
      </c>
      <c r="I1091" s="30">
        <f t="shared" si="30"/>
        <v>46500</v>
      </c>
      <c r="J1091" s="33">
        <f t="shared" si="31"/>
        <v>21.50537634408602</v>
      </c>
    </row>
    <row r="1092" spans="6:10" ht="15">
      <c r="F1092" s="30">
        <v>16</v>
      </c>
      <c r="G1092" s="30">
        <v>63</v>
      </c>
      <c r="H1092" s="30">
        <v>1575</v>
      </c>
      <c r="I1092" s="30">
        <f t="shared" si="30"/>
        <v>47250</v>
      </c>
      <c r="J1092" s="33">
        <f t="shared" si="31"/>
        <v>21.164021164021165</v>
      </c>
    </row>
    <row r="1093" spans="6:10" ht="15">
      <c r="F1093" s="30">
        <v>16</v>
      </c>
      <c r="G1093" s="30">
        <v>64</v>
      </c>
      <c r="H1093" s="30">
        <v>1600</v>
      </c>
      <c r="I1093" s="30">
        <f t="shared" si="30"/>
        <v>48000</v>
      </c>
      <c r="J1093" s="33">
        <f t="shared" si="31"/>
        <v>20.833333333333332</v>
      </c>
    </row>
    <row r="1094" spans="6:10" ht="15">
      <c r="F1094" s="30">
        <v>17</v>
      </c>
      <c r="G1094" s="30">
        <v>1</v>
      </c>
      <c r="H1094" s="30">
        <v>25</v>
      </c>
      <c r="I1094" s="30">
        <f t="shared" si="30"/>
        <v>775</v>
      </c>
      <c r="J1094" s="33">
        <f t="shared" si="31"/>
        <v>1290.3225806451612</v>
      </c>
    </row>
    <row r="1095" spans="6:10" ht="15">
      <c r="F1095" s="30">
        <v>17</v>
      </c>
      <c r="G1095" s="30">
        <v>2</v>
      </c>
      <c r="H1095" s="30">
        <v>50</v>
      </c>
      <c r="I1095" s="30">
        <f t="shared" ref="I1095:I1158" si="32">(14+F1095)*H1095</f>
        <v>1550</v>
      </c>
      <c r="J1095" s="33">
        <f t="shared" ref="J1095:J1158" si="33">(1/I1095)*1000000</f>
        <v>645.16129032258061</v>
      </c>
    </row>
    <row r="1096" spans="6:10" ht="15">
      <c r="F1096" s="30">
        <v>17</v>
      </c>
      <c r="G1096" s="30">
        <v>3</v>
      </c>
      <c r="H1096" s="30">
        <v>75</v>
      </c>
      <c r="I1096" s="30">
        <f t="shared" si="32"/>
        <v>2325</v>
      </c>
      <c r="J1096" s="33">
        <f t="shared" si="33"/>
        <v>430.10752688172045</v>
      </c>
    </row>
    <row r="1097" spans="6:10" ht="15">
      <c r="F1097" s="30">
        <v>17</v>
      </c>
      <c r="G1097" s="30">
        <v>4</v>
      </c>
      <c r="H1097" s="30">
        <v>100</v>
      </c>
      <c r="I1097" s="30">
        <f t="shared" si="32"/>
        <v>3100</v>
      </c>
      <c r="J1097" s="33">
        <f t="shared" si="33"/>
        <v>322.58064516129031</v>
      </c>
    </row>
    <row r="1098" spans="6:10" ht="15">
      <c r="F1098" s="30">
        <v>17</v>
      </c>
      <c r="G1098" s="30">
        <v>5</v>
      </c>
      <c r="H1098" s="30">
        <v>125</v>
      </c>
      <c r="I1098" s="30">
        <f t="shared" si="32"/>
        <v>3875</v>
      </c>
      <c r="J1098" s="33">
        <f t="shared" si="33"/>
        <v>258.06451612903226</v>
      </c>
    </row>
    <row r="1099" spans="6:10" ht="15">
      <c r="F1099" s="30">
        <v>17</v>
      </c>
      <c r="G1099" s="30">
        <v>6</v>
      </c>
      <c r="H1099" s="30">
        <v>150</v>
      </c>
      <c r="I1099" s="30">
        <f t="shared" si="32"/>
        <v>4650</v>
      </c>
      <c r="J1099" s="33">
        <f t="shared" si="33"/>
        <v>215.05376344086022</v>
      </c>
    </row>
    <row r="1100" spans="6:10" ht="15">
      <c r="F1100" s="30">
        <v>17</v>
      </c>
      <c r="G1100" s="30">
        <v>7</v>
      </c>
      <c r="H1100" s="30">
        <v>175</v>
      </c>
      <c r="I1100" s="30">
        <f t="shared" si="32"/>
        <v>5425</v>
      </c>
      <c r="J1100" s="33">
        <f t="shared" si="33"/>
        <v>184.33179723502303</v>
      </c>
    </row>
    <row r="1101" spans="6:10" ht="15">
      <c r="F1101" s="30">
        <v>17</v>
      </c>
      <c r="G1101" s="30">
        <v>8</v>
      </c>
      <c r="H1101" s="30">
        <v>200</v>
      </c>
      <c r="I1101" s="30">
        <f t="shared" si="32"/>
        <v>6200</v>
      </c>
      <c r="J1101" s="33">
        <f t="shared" si="33"/>
        <v>161.29032258064515</v>
      </c>
    </row>
    <row r="1102" spans="6:10" ht="15">
      <c r="F1102" s="30">
        <v>17</v>
      </c>
      <c r="G1102" s="30">
        <v>9</v>
      </c>
      <c r="H1102" s="30">
        <v>225</v>
      </c>
      <c r="I1102" s="30">
        <f t="shared" si="32"/>
        <v>6975</v>
      </c>
      <c r="J1102" s="33">
        <f t="shared" si="33"/>
        <v>143.36917562724014</v>
      </c>
    </row>
    <row r="1103" spans="6:10" ht="15">
      <c r="F1103" s="30">
        <v>17</v>
      </c>
      <c r="G1103" s="30">
        <v>10</v>
      </c>
      <c r="H1103" s="30">
        <v>250</v>
      </c>
      <c r="I1103" s="30">
        <f t="shared" si="32"/>
        <v>7750</v>
      </c>
      <c r="J1103" s="33">
        <f t="shared" si="33"/>
        <v>129.03225806451613</v>
      </c>
    </row>
    <row r="1104" spans="6:10" ht="15">
      <c r="F1104" s="30">
        <v>17</v>
      </c>
      <c r="G1104" s="30">
        <v>11</v>
      </c>
      <c r="H1104" s="30">
        <v>275</v>
      </c>
      <c r="I1104" s="30">
        <f t="shared" si="32"/>
        <v>8525</v>
      </c>
      <c r="J1104" s="33">
        <f t="shared" si="33"/>
        <v>117.30205278592375</v>
      </c>
    </row>
    <row r="1105" spans="6:10" ht="15">
      <c r="F1105" s="30">
        <v>17</v>
      </c>
      <c r="G1105" s="30">
        <v>12</v>
      </c>
      <c r="H1105" s="30">
        <v>300</v>
      </c>
      <c r="I1105" s="30">
        <f t="shared" si="32"/>
        <v>9300</v>
      </c>
      <c r="J1105" s="33">
        <f t="shared" si="33"/>
        <v>107.52688172043011</v>
      </c>
    </row>
    <row r="1106" spans="6:10" ht="15">
      <c r="F1106" s="30">
        <v>17</v>
      </c>
      <c r="G1106" s="30">
        <v>13</v>
      </c>
      <c r="H1106" s="30">
        <v>325</v>
      </c>
      <c r="I1106" s="30">
        <f t="shared" si="32"/>
        <v>10075</v>
      </c>
      <c r="J1106" s="33">
        <f t="shared" si="33"/>
        <v>99.255583126550874</v>
      </c>
    </row>
    <row r="1107" spans="6:10" ht="15">
      <c r="F1107" s="30">
        <v>17</v>
      </c>
      <c r="G1107" s="30">
        <v>14</v>
      </c>
      <c r="H1107" s="30">
        <v>350</v>
      </c>
      <c r="I1107" s="30">
        <f t="shared" si="32"/>
        <v>10850</v>
      </c>
      <c r="J1107" s="33">
        <f t="shared" si="33"/>
        <v>92.165898617511516</v>
      </c>
    </row>
    <row r="1108" spans="6:10" ht="15">
      <c r="F1108" s="30">
        <v>17</v>
      </c>
      <c r="G1108" s="30">
        <v>15</v>
      </c>
      <c r="H1108" s="30">
        <v>375</v>
      </c>
      <c r="I1108" s="30">
        <f t="shared" si="32"/>
        <v>11625</v>
      </c>
      <c r="J1108" s="33">
        <f t="shared" si="33"/>
        <v>86.021505376344081</v>
      </c>
    </row>
    <row r="1109" spans="6:10" ht="15">
      <c r="F1109" s="30">
        <v>17</v>
      </c>
      <c r="G1109" s="30">
        <v>16</v>
      </c>
      <c r="H1109" s="30">
        <v>400</v>
      </c>
      <c r="I1109" s="30">
        <f t="shared" si="32"/>
        <v>12400</v>
      </c>
      <c r="J1109" s="33">
        <f t="shared" si="33"/>
        <v>80.645161290322577</v>
      </c>
    </row>
    <row r="1110" spans="6:10" ht="15">
      <c r="F1110" s="30">
        <v>17</v>
      </c>
      <c r="G1110" s="30">
        <v>17</v>
      </c>
      <c r="H1110" s="30">
        <v>425</v>
      </c>
      <c r="I1110" s="30">
        <f t="shared" si="32"/>
        <v>13175</v>
      </c>
      <c r="J1110" s="33">
        <f t="shared" si="33"/>
        <v>75.901328273244786</v>
      </c>
    </row>
    <row r="1111" spans="6:10" ht="15">
      <c r="F1111" s="30">
        <v>17</v>
      </c>
      <c r="G1111" s="30">
        <v>18</v>
      </c>
      <c r="H1111" s="30">
        <v>450</v>
      </c>
      <c r="I1111" s="30">
        <f t="shared" si="32"/>
        <v>13950</v>
      </c>
      <c r="J1111" s="33">
        <f t="shared" si="33"/>
        <v>71.68458781362007</v>
      </c>
    </row>
    <row r="1112" spans="6:10" ht="15">
      <c r="F1112" s="30">
        <v>17</v>
      </c>
      <c r="G1112" s="30">
        <v>19</v>
      </c>
      <c r="H1112" s="30">
        <v>475</v>
      </c>
      <c r="I1112" s="30">
        <f t="shared" si="32"/>
        <v>14725</v>
      </c>
      <c r="J1112" s="33">
        <f t="shared" si="33"/>
        <v>67.911714770797957</v>
      </c>
    </row>
    <row r="1113" spans="6:10" ht="15">
      <c r="F1113" s="30">
        <v>17</v>
      </c>
      <c r="G1113" s="30">
        <v>20</v>
      </c>
      <c r="H1113" s="30">
        <v>500</v>
      </c>
      <c r="I1113" s="30">
        <f t="shared" si="32"/>
        <v>15500</v>
      </c>
      <c r="J1113" s="33">
        <f t="shared" si="33"/>
        <v>64.516129032258064</v>
      </c>
    </row>
    <row r="1114" spans="6:10" ht="15">
      <c r="F1114" s="30">
        <v>17</v>
      </c>
      <c r="G1114" s="30">
        <v>21</v>
      </c>
      <c r="H1114" s="30">
        <v>525</v>
      </c>
      <c r="I1114" s="30">
        <f t="shared" si="32"/>
        <v>16275</v>
      </c>
      <c r="J1114" s="33">
        <f t="shared" si="33"/>
        <v>61.443932411674346</v>
      </c>
    </row>
    <row r="1115" spans="6:10" ht="15">
      <c r="F1115" s="30">
        <v>17</v>
      </c>
      <c r="G1115" s="30">
        <v>22</v>
      </c>
      <c r="H1115" s="30">
        <v>550</v>
      </c>
      <c r="I1115" s="30">
        <f t="shared" si="32"/>
        <v>17050</v>
      </c>
      <c r="J1115" s="33">
        <f t="shared" si="33"/>
        <v>58.651026392961874</v>
      </c>
    </row>
    <row r="1116" spans="6:10" ht="15">
      <c r="F1116" s="30">
        <v>17</v>
      </c>
      <c r="G1116" s="30">
        <v>23</v>
      </c>
      <c r="H1116" s="30">
        <v>575</v>
      </c>
      <c r="I1116" s="30">
        <f t="shared" si="32"/>
        <v>17825</v>
      </c>
      <c r="J1116" s="33">
        <f t="shared" si="33"/>
        <v>56.100981767180926</v>
      </c>
    </row>
    <row r="1117" spans="6:10" ht="15">
      <c r="F1117" s="30">
        <v>17</v>
      </c>
      <c r="G1117" s="30">
        <v>24</v>
      </c>
      <c r="H1117" s="30">
        <v>600</v>
      </c>
      <c r="I1117" s="30">
        <f t="shared" si="32"/>
        <v>18600</v>
      </c>
      <c r="J1117" s="33">
        <f t="shared" si="33"/>
        <v>53.763440860215056</v>
      </c>
    </row>
    <row r="1118" spans="6:10" ht="15">
      <c r="F1118" s="30">
        <v>17</v>
      </c>
      <c r="G1118" s="30">
        <v>25</v>
      </c>
      <c r="H1118" s="30">
        <v>625</v>
      </c>
      <c r="I1118" s="30">
        <f t="shared" si="32"/>
        <v>19375</v>
      </c>
      <c r="J1118" s="33">
        <f t="shared" si="33"/>
        <v>51.612903225806448</v>
      </c>
    </row>
    <row r="1119" spans="6:10" ht="15">
      <c r="F1119" s="30">
        <v>17</v>
      </c>
      <c r="G1119" s="30">
        <v>26</v>
      </c>
      <c r="H1119" s="30">
        <v>650</v>
      </c>
      <c r="I1119" s="30">
        <f t="shared" si="32"/>
        <v>20150</v>
      </c>
      <c r="J1119" s="33">
        <f t="shared" si="33"/>
        <v>49.627791563275437</v>
      </c>
    </row>
    <row r="1120" spans="6:10" ht="15">
      <c r="F1120" s="30">
        <v>17</v>
      </c>
      <c r="G1120" s="30">
        <v>27</v>
      </c>
      <c r="H1120" s="30">
        <v>675</v>
      </c>
      <c r="I1120" s="30">
        <f t="shared" si="32"/>
        <v>20925</v>
      </c>
      <c r="J1120" s="33">
        <f t="shared" si="33"/>
        <v>47.789725209080054</v>
      </c>
    </row>
    <row r="1121" spans="6:10" ht="15">
      <c r="F1121" s="30">
        <v>17</v>
      </c>
      <c r="G1121" s="30">
        <v>28</v>
      </c>
      <c r="H1121" s="30">
        <v>700</v>
      </c>
      <c r="I1121" s="30">
        <f t="shared" si="32"/>
        <v>21700</v>
      </c>
      <c r="J1121" s="33">
        <f t="shared" si="33"/>
        <v>46.082949308755758</v>
      </c>
    </row>
    <row r="1122" spans="6:10" ht="15">
      <c r="F1122" s="30">
        <v>17</v>
      </c>
      <c r="G1122" s="30">
        <v>29</v>
      </c>
      <c r="H1122" s="30">
        <v>725</v>
      </c>
      <c r="I1122" s="30">
        <f t="shared" si="32"/>
        <v>22475</v>
      </c>
      <c r="J1122" s="33">
        <f t="shared" si="33"/>
        <v>44.493882091212463</v>
      </c>
    </row>
    <row r="1123" spans="6:10" ht="15">
      <c r="F1123" s="30">
        <v>17</v>
      </c>
      <c r="G1123" s="30">
        <v>30</v>
      </c>
      <c r="H1123" s="30">
        <v>750</v>
      </c>
      <c r="I1123" s="30">
        <f t="shared" si="32"/>
        <v>23250</v>
      </c>
      <c r="J1123" s="33">
        <f t="shared" si="33"/>
        <v>43.01075268817204</v>
      </c>
    </row>
    <row r="1124" spans="6:10" ht="15">
      <c r="F1124" s="30">
        <v>17</v>
      </c>
      <c r="G1124" s="30">
        <v>31</v>
      </c>
      <c r="H1124" s="30">
        <v>775</v>
      </c>
      <c r="I1124" s="30">
        <f t="shared" si="32"/>
        <v>24025</v>
      </c>
      <c r="J1124" s="33">
        <f t="shared" si="33"/>
        <v>41.623309053069718</v>
      </c>
    </row>
    <row r="1125" spans="6:10" ht="15">
      <c r="F1125" s="30">
        <v>17</v>
      </c>
      <c r="G1125" s="30">
        <v>32</v>
      </c>
      <c r="H1125" s="30">
        <v>800</v>
      </c>
      <c r="I1125" s="30">
        <f t="shared" si="32"/>
        <v>24800</v>
      </c>
      <c r="J1125" s="33">
        <f t="shared" si="33"/>
        <v>40.322580645161288</v>
      </c>
    </row>
    <row r="1126" spans="6:10" ht="15">
      <c r="F1126" s="30">
        <v>17</v>
      </c>
      <c r="G1126" s="30">
        <v>33</v>
      </c>
      <c r="H1126" s="30">
        <v>825</v>
      </c>
      <c r="I1126" s="30">
        <f t="shared" si="32"/>
        <v>25575</v>
      </c>
      <c r="J1126" s="33">
        <f t="shared" si="33"/>
        <v>39.100684261974585</v>
      </c>
    </row>
    <row r="1127" spans="6:10" ht="15">
      <c r="F1127" s="30">
        <v>17</v>
      </c>
      <c r="G1127" s="30">
        <v>34</v>
      </c>
      <c r="H1127" s="30">
        <v>850</v>
      </c>
      <c r="I1127" s="30">
        <f t="shared" si="32"/>
        <v>26350</v>
      </c>
      <c r="J1127" s="33">
        <f t="shared" si="33"/>
        <v>37.950664136622393</v>
      </c>
    </row>
    <row r="1128" spans="6:10" ht="15">
      <c r="F1128" s="30">
        <v>17</v>
      </c>
      <c r="G1128" s="30">
        <v>35</v>
      </c>
      <c r="H1128" s="30">
        <v>875</v>
      </c>
      <c r="I1128" s="30">
        <f t="shared" si="32"/>
        <v>27125</v>
      </c>
      <c r="J1128" s="33">
        <f t="shared" si="33"/>
        <v>36.866359447004605</v>
      </c>
    </row>
    <row r="1129" spans="6:10" ht="15">
      <c r="F1129" s="30">
        <v>17</v>
      </c>
      <c r="G1129" s="30">
        <v>36</v>
      </c>
      <c r="H1129" s="30">
        <v>900</v>
      </c>
      <c r="I1129" s="30">
        <f t="shared" si="32"/>
        <v>27900</v>
      </c>
      <c r="J1129" s="33">
        <f t="shared" si="33"/>
        <v>35.842293906810035</v>
      </c>
    </row>
    <row r="1130" spans="6:10" ht="15">
      <c r="F1130" s="30">
        <v>17</v>
      </c>
      <c r="G1130" s="30">
        <v>37</v>
      </c>
      <c r="H1130" s="30">
        <v>925</v>
      </c>
      <c r="I1130" s="30">
        <f t="shared" si="32"/>
        <v>28675</v>
      </c>
      <c r="J1130" s="33">
        <f t="shared" si="33"/>
        <v>34.873583260680029</v>
      </c>
    </row>
    <row r="1131" spans="6:10" ht="15">
      <c r="F1131" s="30">
        <v>17</v>
      </c>
      <c r="G1131" s="30">
        <v>38</v>
      </c>
      <c r="H1131" s="30">
        <v>950</v>
      </c>
      <c r="I1131" s="30">
        <f t="shared" si="32"/>
        <v>29450</v>
      </c>
      <c r="J1131" s="33">
        <f t="shared" si="33"/>
        <v>33.955857385398978</v>
      </c>
    </row>
    <row r="1132" spans="6:10" ht="15">
      <c r="F1132" s="30">
        <v>17</v>
      </c>
      <c r="G1132" s="30">
        <v>39</v>
      </c>
      <c r="H1132" s="30">
        <v>975</v>
      </c>
      <c r="I1132" s="30">
        <f t="shared" si="32"/>
        <v>30225</v>
      </c>
      <c r="J1132" s="33">
        <f t="shared" si="33"/>
        <v>33.085194375516956</v>
      </c>
    </row>
    <row r="1133" spans="6:10" ht="15">
      <c r="F1133" s="30">
        <v>17</v>
      </c>
      <c r="G1133" s="30">
        <v>40</v>
      </c>
      <c r="H1133" s="30">
        <v>1000</v>
      </c>
      <c r="I1133" s="30">
        <f t="shared" si="32"/>
        <v>31000</v>
      </c>
      <c r="J1133" s="33">
        <f t="shared" si="33"/>
        <v>32.258064516129032</v>
      </c>
    </row>
    <row r="1134" spans="6:10" ht="15">
      <c r="F1134" s="30">
        <v>17</v>
      </c>
      <c r="G1134" s="30">
        <v>41</v>
      </c>
      <c r="H1134" s="30">
        <v>1025</v>
      </c>
      <c r="I1134" s="30">
        <f t="shared" si="32"/>
        <v>31775</v>
      </c>
      <c r="J1134" s="33">
        <f t="shared" si="33"/>
        <v>31.471282454760033</v>
      </c>
    </row>
    <row r="1135" spans="6:10" ht="15">
      <c r="F1135" s="30">
        <v>17</v>
      </c>
      <c r="G1135" s="30">
        <v>42</v>
      </c>
      <c r="H1135" s="30">
        <v>1050</v>
      </c>
      <c r="I1135" s="30">
        <f t="shared" si="32"/>
        <v>32550</v>
      </c>
      <c r="J1135" s="33">
        <f t="shared" si="33"/>
        <v>30.721966205837173</v>
      </c>
    </row>
    <row r="1136" spans="6:10" ht="15">
      <c r="F1136" s="30">
        <v>17</v>
      </c>
      <c r="G1136" s="30">
        <v>43</v>
      </c>
      <c r="H1136" s="30">
        <v>1075</v>
      </c>
      <c r="I1136" s="30">
        <f t="shared" si="32"/>
        <v>33325</v>
      </c>
      <c r="J1136" s="33">
        <f t="shared" si="33"/>
        <v>30.007501875468865</v>
      </c>
    </row>
    <row r="1137" spans="6:10" ht="15">
      <c r="F1137" s="30">
        <v>17</v>
      </c>
      <c r="G1137" s="30">
        <v>44</v>
      </c>
      <c r="H1137" s="30">
        <v>1100</v>
      </c>
      <c r="I1137" s="30">
        <f t="shared" si="32"/>
        <v>34100</v>
      </c>
      <c r="J1137" s="33">
        <f t="shared" si="33"/>
        <v>29.325513196480937</v>
      </c>
    </row>
    <row r="1138" spans="6:10" ht="15">
      <c r="F1138" s="30">
        <v>17</v>
      </c>
      <c r="G1138" s="30">
        <v>45</v>
      </c>
      <c r="H1138" s="30">
        <v>1125</v>
      </c>
      <c r="I1138" s="30">
        <f t="shared" si="32"/>
        <v>34875</v>
      </c>
      <c r="J1138" s="33">
        <f t="shared" si="33"/>
        <v>28.673835125448029</v>
      </c>
    </row>
    <row r="1139" spans="6:10" ht="15">
      <c r="F1139" s="30">
        <v>17</v>
      </c>
      <c r="G1139" s="30">
        <v>46</v>
      </c>
      <c r="H1139" s="30">
        <v>1150</v>
      </c>
      <c r="I1139" s="30">
        <f t="shared" si="32"/>
        <v>35650</v>
      </c>
      <c r="J1139" s="33">
        <f t="shared" si="33"/>
        <v>28.050490883590463</v>
      </c>
    </row>
    <row r="1140" spans="6:10" ht="15">
      <c r="F1140" s="30">
        <v>17</v>
      </c>
      <c r="G1140" s="30">
        <v>47</v>
      </c>
      <c r="H1140" s="30">
        <v>1175</v>
      </c>
      <c r="I1140" s="30">
        <f t="shared" si="32"/>
        <v>36425</v>
      </c>
      <c r="J1140" s="33">
        <f t="shared" si="33"/>
        <v>27.453671928620455</v>
      </c>
    </row>
    <row r="1141" spans="6:10" ht="15">
      <c r="F1141" s="30">
        <v>17</v>
      </c>
      <c r="G1141" s="30">
        <v>48</v>
      </c>
      <c r="H1141" s="30">
        <v>1200</v>
      </c>
      <c r="I1141" s="30">
        <f t="shared" si="32"/>
        <v>37200</v>
      </c>
      <c r="J1141" s="33">
        <f t="shared" si="33"/>
        <v>26.881720430107528</v>
      </c>
    </row>
    <row r="1142" spans="6:10" ht="15">
      <c r="F1142" s="30">
        <v>17</v>
      </c>
      <c r="G1142" s="30">
        <v>49</v>
      </c>
      <c r="H1142" s="30">
        <v>1225</v>
      </c>
      <c r="I1142" s="30">
        <f t="shared" si="32"/>
        <v>37975</v>
      </c>
      <c r="J1142" s="33">
        <f t="shared" si="33"/>
        <v>26.333113890717577</v>
      </c>
    </row>
    <row r="1143" spans="6:10" ht="15">
      <c r="F1143" s="30">
        <v>17</v>
      </c>
      <c r="G1143" s="30">
        <v>50</v>
      </c>
      <c r="H1143" s="30">
        <v>1250</v>
      </c>
      <c r="I1143" s="30">
        <f t="shared" si="32"/>
        <v>38750</v>
      </c>
      <c r="J1143" s="33">
        <f t="shared" si="33"/>
        <v>25.806451612903224</v>
      </c>
    </row>
    <row r="1144" spans="6:10" ht="15">
      <c r="F1144" s="30">
        <v>17</v>
      </c>
      <c r="G1144" s="30">
        <v>51</v>
      </c>
      <c r="H1144" s="30">
        <v>1275</v>
      </c>
      <c r="I1144" s="30">
        <f t="shared" si="32"/>
        <v>39525</v>
      </c>
      <c r="J1144" s="33">
        <f t="shared" si="33"/>
        <v>25.300442757748261</v>
      </c>
    </row>
    <row r="1145" spans="6:10" ht="15">
      <c r="F1145" s="30">
        <v>17</v>
      </c>
      <c r="G1145" s="30">
        <v>52</v>
      </c>
      <c r="H1145" s="30">
        <v>1300</v>
      </c>
      <c r="I1145" s="30">
        <f t="shared" si="32"/>
        <v>40300</v>
      </c>
      <c r="J1145" s="33">
        <f t="shared" si="33"/>
        <v>24.813895781637719</v>
      </c>
    </row>
    <row r="1146" spans="6:10" ht="15">
      <c r="F1146" s="30">
        <v>17</v>
      </c>
      <c r="G1146" s="30">
        <v>53</v>
      </c>
      <c r="H1146" s="30">
        <v>1325</v>
      </c>
      <c r="I1146" s="30">
        <f t="shared" si="32"/>
        <v>41075</v>
      </c>
      <c r="J1146" s="33">
        <f t="shared" si="33"/>
        <v>24.345709068776628</v>
      </c>
    </row>
    <row r="1147" spans="6:10" ht="15">
      <c r="F1147" s="30">
        <v>17</v>
      </c>
      <c r="G1147" s="30">
        <v>54</v>
      </c>
      <c r="H1147" s="30">
        <v>1350</v>
      </c>
      <c r="I1147" s="30">
        <f t="shared" si="32"/>
        <v>41850</v>
      </c>
      <c r="J1147" s="33">
        <f t="shared" si="33"/>
        <v>23.894862604540027</v>
      </c>
    </row>
    <row r="1148" spans="6:10" ht="15">
      <c r="F1148" s="30">
        <v>17</v>
      </c>
      <c r="G1148" s="30">
        <v>55</v>
      </c>
      <c r="H1148" s="30">
        <v>1375</v>
      </c>
      <c r="I1148" s="30">
        <f t="shared" si="32"/>
        <v>42625</v>
      </c>
      <c r="J1148" s="33">
        <f t="shared" si="33"/>
        <v>23.460410557184751</v>
      </c>
    </row>
    <row r="1149" spans="6:10" ht="15">
      <c r="F1149" s="30">
        <v>17</v>
      </c>
      <c r="G1149" s="30">
        <v>56</v>
      </c>
      <c r="H1149" s="30">
        <v>1400</v>
      </c>
      <c r="I1149" s="30">
        <f t="shared" si="32"/>
        <v>43400</v>
      </c>
      <c r="J1149" s="33">
        <f t="shared" si="33"/>
        <v>23.041474654377879</v>
      </c>
    </row>
    <row r="1150" spans="6:10" ht="15">
      <c r="F1150" s="30">
        <v>17</v>
      </c>
      <c r="G1150" s="30">
        <v>57</v>
      </c>
      <c r="H1150" s="30">
        <v>1425</v>
      </c>
      <c r="I1150" s="30">
        <f t="shared" si="32"/>
        <v>44175</v>
      </c>
      <c r="J1150" s="33">
        <f t="shared" si="33"/>
        <v>22.637238256932655</v>
      </c>
    </row>
    <row r="1151" spans="6:10" ht="15">
      <c r="F1151" s="30">
        <v>17</v>
      </c>
      <c r="G1151" s="30">
        <v>58</v>
      </c>
      <c r="H1151" s="30">
        <v>1450</v>
      </c>
      <c r="I1151" s="30">
        <f t="shared" si="32"/>
        <v>44950</v>
      </c>
      <c r="J1151" s="33">
        <f t="shared" si="33"/>
        <v>22.246941045606231</v>
      </c>
    </row>
    <row r="1152" spans="6:10" ht="15">
      <c r="F1152" s="30">
        <v>17</v>
      </c>
      <c r="G1152" s="30">
        <v>59</v>
      </c>
      <c r="H1152" s="30">
        <v>1475</v>
      </c>
      <c r="I1152" s="30">
        <f t="shared" si="32"/>
        <v>45725</v>
      </c>
      <c r="J1152" s="33">
        <f t="shared" si="33"/>
        <v>21.869874248223073</v>
      </c>
    </row>
    <row r="1153" spans="6:10" ht="15">
      <c r="F1153" s="30">
        <v>17</v>
      </c>
      <c r="G1153" s="30">
        <v>60</v>
      </c>
      <c r="H1153" s="30">
        <v>1500</v>
      </c>
      <c r="I1153" s="30">
        <f t="shared" si="32"/>
        <v>46500</v>
      </c>
      <c r="J1153" s="33">
        <f t="shared" si="33"/>
        <v>21.50537634408602</v>
      </c>
    </row>
    <row r="1154" spans="6:10" ht="15">
      <c r="F1154" s="30">
        <v>17</v>
      </c>
      <c r="G1154" s="30">
        <v>61</v>
      </c>
      <c r="H1154" s="30">
        <v>1525</v>
      </c>
      <c r="I1154" s="30">
        <f t="shared" si="32"/>
        <v>47275</v>
      </c>
      <c r="J1154" s="33">
        <f t="shared" si="33"/>
        <v>21.152829190904285</v>
      </c>
    </row>
    <row r="1155" spans="6:10" ht="15">
      <c r="F1155" s="30">
        <v>17</v>
      </c>
      <c r="G1155" s="30">
        <v>62</v>
      </c>
      <c r="H1155" s="30">
        <v>1550</v>
      </c>
      <c r="I1155" s="30">
        <f t="shared" si="32"/>
        <v>48050</v>
      </c>
      <c r="J1155" s="33">
        <f t="shared" si="33"/>
        <v>20.811654526534859</v>
      </c>
    </row>
    <row r="1156" spans="6:10" ht="15">
      <c r="F1156" s="30">
        <v>17</v>
      </c>
      <c r="G1156" s="30">
        <v>63</v>
      </c>
      <c r="H1156" s="30">
        <v>1575</v>
      </c>
      <c r="I1156" s="30">
        <f t="shared" si="32"/>
        <v>48825</v>
      </c>
      <c r="J1156" s="33">
        <f t="shared" si="33"/>
        <v>20.48131080389145</v>
      </c>
    </row>
    <row r="1157" spans="6:10" ht="15">
      <c r="F1157" s="30">
        <v>17</v>
      </c>
      <c r="G1157" s="30">
        <v>64</v>
      </c>
      <c r="H1157" s="30">
        <v>1600</v>
      </c>
      <c r="I1157" s="30">
        <f t="shared" si="32"/>
        <v>49600</v>
      </c>
      <c r="J1157" s="33">
        <f t="shared" si="33"/>
        <v>20.161290322580644</v>
      </c>
    </row>
    <row r="1158" spans="6:10" ht="15">
      <c r="F1158" s="30">
        <v>18</v>
      </c>
      <c r="G1158" s="30">
        <v>1</v>
      </c>
      <c r="H1158" s="30">
        <v>25</v>
      </c>
      <c r="I1158" s="30">
        <f t="shared" si="32"/>
        <v>800</v>
      </c>
      <c r="J1158" s="33">
        <f t="shared" si="33"/>
        <v>1250</v>
      </c>
    </row>
    <row r="1159" spans="6:10" ht="15">
      <c r="F1159" s="30">
        <v>18</v>
      </c>
      <c r="G1159" s="30">
        <v>2</v>
      </c>
      <c r="H1159" s="30">
        <v>50</v>
      </c>
      <c r="I1159" s="30">
        <f t="shared" ref="I1159:I1222" si="34">(14+F1159)*H1159</f>
        <v>1600</v>
      </c>
      <c r="J1159" s="33">
        <f t="shared" ref="J1159:J1222" si="35">(1/I1159)*1000000</f>
        <v>625</v>
      </c>
    </row>
    <row r="1160" spans="6:10" ht="15">
      <c r="F1160" s="30">
        <v>18</v>
      </c>
      <c r="G1160" s="30">
        <v>3</v>
      </c>
      <c r="H1160" s="30">
        <v>75</v>
      </c>
      <c r="I1160" s="30">
        <f t="shared" si="34"/>
        <v>2400</v>
      </c>
      <c r="J1160" s="33">
        <f t="shared" si="35"/>
        <v>416.66666666666669</v>
      </c>
    </row>
    <row r="1161" spans="6:10" ht="15">
      <c r="F1161" s="30">
        <v>18</v>
      </c>
      <c r="G1161" s="30">
        <v>4</v>
      </c>
      <c r="H1161" s="30">
        <v>100</v>
      </c>
      <c r="I1161" s="30">
        <f t="shared" si="34"/>
        <v>3200</v>
      </c>
      <c r="J1161" s="33">
        <f t="shared" si="35"/>
        <v>312.5</v>
      </c>
    </row>
    <row r="1162" spans="6:10" ht="15">
      <c r="F1162" s="30">
        <v>18</v>
      </c>
      <c r="G1162" s="30">
        <v>5</v>
      </c>
      <c r="H1162" s="30">
        <v>125</v>
      </c>
      <c r="I1162" s="30">
        <f t="shared" si="34"/>
        <v>4000</v>
      </c>
      <c r="J1162" s="33">
        <f t="shared" si="35"/>
        <v>250</v>
      </c>
    </row>
    <row r="1163" spans="6:10" ht="15">
      <c r="F1163" s="30">
        <v>18</v>
      </c>
      <c r="G1163" s="30">
        <v>6</v>
      </c>
      <c r="H1163" s="30">
        <v>150</v>
      </c>
      <c r="I1163" s="30">
        <f t="shared" si="34"/>
        <v>4800</v>
      </c>
      <c r="J1163" s="33">
        <f t="shared" si="35"/>
        <v>208.33333333333334</v>
      </c>
    </row>
    <row r="1164" spans="6:10" ht="15">
      <c r="F1164" s="30">
        <v>18</v>
      </c>
      <c r="G1164" s="30">
        <v>7</v>
      </c>
      <c r="H1164" s="30">
        <v>175</v>
      </c>
      <c r="I1164" s="30">
        <f t="shared" si="34"/>
        <v>5600</v>
      </c>
      <c r="J1164" s="33">
        <f t="shared" si="35"/>
        <v>178.57142857142858</v>
      </c>
    </row>
    <row r="1165" spans="6:10" ht="15">
      <c r="F1165" s="30">
        <v>18</v>
      </c>
      <c r="G1165" s="30">
        <v>8</v>
      </c>
      <c r="H1165" s="30">
        <v>200</v>
      </c>
      <c r="I1165" s="30">
        <f t="shared" si="34"/>
        <v>6400</v>
      </c>
      <c r="J1165" s="33">
        <f t="shared" si="35"/>
        <v>156.25</v>
      </c>
    </row>
    <row r="1166" spans="6:10" ht="15">
      <c r="F1166" s="30">
        <v>18</v>
      </c>
      <c r="G1166" s="30">
        <v>9</v>
      </c>
      <c r="H1166" s="30">
        <v>225</v>
      </c>
      <c r="I1166" s="30">
        <f t="shared" si="34"/>
        <v>7200</v>
      </c>
      <c r="J1166" s="33">
        <f t="shared" si="35"/>
        <v>138.88888888888889</v>
      </c>
    </row>
    <row r="1167" spans="6:10" ht="15">
      <c r="F1167" s="30">
        <v>18</v>
      </c>
      <c r="G1167" s="30">
        <v>10</v>
      </c>
      <c r="H1167" s="30">
        <v>250</v>
      </c>
      <c r="I1167" s="30">
        <f t="shared" si="34"/>
        <v>8000</v>
      </c>
      <c r="J1167" s="33">
        <f t="shared" si="35"/>
        <v>125</v>
      </c>
    </row>
    <row r="1168" spans="6:10" ht="15">
      <c r="F1168" s="30">
        <v>18</v>
      </c>
      <c r="G1168" s="30">
        <v>11</v>
      </c>
      <c r="H1168" s="30">
        <v>275</v>
      </c>
      <c r="I1168" s="30">
        <f t="shared" si="34"/>
        <v>8800</v>
      </c>
      <c r="J1168" s="33">
        <f t="shared" si="35"/>
        <v>113.63636363636364</v>
      </c>
    </row>
    <row r="1169" spans="6:10" ht="15">
      <c r="F1169" s="30">
        <v>18</v>
      </c>
      <c r="G1169" s="30">
        <v>12</v>
      </c>
      <c r="H1169" s="30">
        <v>300</v>
      </c>
      <c r="I1169" s="30">
        <f t="shared" si="34"/>
        <v>9600</v>
      </c>
      <c r="J1169" s="33">
        <f t="shared" si="35"/>
        <v>104.16666666666667</v>
      </c>
    </row>
    <row r="1170" spans="6:10" ht="15">
      <c r="F1170" s="30">
        <v>18</v>
      </c>
      <c r="G1170" s="30">
        <v>13</v>
      </c>
      <c r="H1170" s="30">
        <v>325</v>
      </c>
      <c r="I1170" s="30">
        <f t="shared" si="34"/>
        <v>10400</v>
      </c>
      <c r="J1170" s="33">
        <f t="shared" si="35"/>
        <v>96.15384615384616</v>
      </c>
    </row>
    <row r="1171" spans="6:10" ht="15">
      <c r="F1171" s="30">
        <v>18</v>
      </c>
      <c r="G1171" s="30">
        <v>14</v>
      </c>
      <c r="H1171" s="30">
        <v>350</v>
      </c>
      <c r="I1171" s="30">
        <f t="shared" si="34"/>
        <v>11200</v>
      </c>
      <c r="J1171" s="33">
        <f t="shared" si="35"/>
        <v>89.285714285714292</v>
      </c>
    </row>
    <row r="1172" spans="6:10" ht="15">
      <c r="F1172" s="30">
        <v>18</v>
      </c>
      <c r="G1172" s="30">
        <v>15</v>
      </c>
      <c r="H1172" s="30">
        <v>375</v>
      </c>
      <c r="I1172" s="30">
        <f t="shared" si="34"/>
        <v>12000</v>
      </c>
      <c r="J1172" s="33">
        <f t="shared" si="35"/>
        <v>83.333333333333329</v>
      </c>
    </row>
    <row r="1173" spans="6:10" ht="15">
      <c r="F1173" s="30">
        <v>18</v>
      </c>
      <c r="G1173" s="30">
        <v>16</v>
      </c>
      <c r="H1173" s="30">
        <v>400</v>
      </c>
      <c r="I1173" s="30">
        <f t="shared" si="34"/>
        <v>12800</v>
      </c>
      <c r="J1173" s="33">
        <f t="shared" si="35"/>
        <v>78.125</v>
      </c>
    </row>
    <row r="1174" spans="6:10" ht="15">
      <c r="F1174" s="30">
        <v>18</v>
      </c>
      <c r="G1174" s="30">
        <v>17</v>
      </c>
      <c r="H1174" s="30">
        <v>425</v>
      </c>
      <c r="I1174" s="30">
        <f t="shared" si="34"/>
        <v>13600</v>
      </c>
      <c r="J1174" s="33">
        <f t="shared" si="35"/>
        <v>73.52941176470587</v>
      </c>
    </row>
    <row r="1175" spans="6:10" ht="15">
      <c r="F1175" s="30">
        <v>18</v>
      </c>
      <c r="G1175" s="30">
        <v>18</v>
      </c>
      <c r="H1175" s="30">
        <v>450</v>
      </c>
      <c r="I1175" s="30">
        <f t="shared" si="34"/>
        <v>14400</v>
      </c>
      <c r="J1175" s="33">
        <f t="shared" si="35"/>
        <v>69.444444444444443</v>
      </c>
    </row>
    <row r="1176" spans="6:10" ht="15">
      <c r="F1176" s="30">
        <v>18</v>
      </c>
      <c r="G1176" s="30">
        <v>19</v>
      </c>
      <c r="H1176" s="30">
        <v>475</v>
      </c>
      <c r="I1176" s="30">
        <f t="shared" si="34"/>
        <v>15200</v>
      </c>
      <c r="J1176" s="33">
        <f t="shared" si="35"/>
        <v>65.78947368421052</v>
      </c>
    </row>
    <row r="1177" spans="6:10" ht="15">
      <c r="F1177" s="30">
        <v>18</v>
      </c>
      <c r="G1177" s="30">
        <v>20</v>
      </c>
      <c r="H1177" s="30">
        <v>500</v>
      </c>
      <c r="I1177" s="30">
        <f t="shared" si="34"/>
        <v>16000</v>
      </c>
      <c r="J1177" s="33">
        <f t="shared" si="35"/>
        <v>62.5</v>
      </c>
    </row>
    <row r="1178" spans="6:10" ht="15">
      <c r="F1178" s="30">
        <v>18</v>
      </c>
      <c r="G1178" s="30">
        <v>21</v>
      </c>
      <c r="H1178" s="30">
        <v>525</v>
      </c>
      <c r="I1178" s="30">
        <f t="shared" si="34"/>
        <v>16800</v>
      </c>
      <c r="J1178" s="33">
        <f t="shared" si="35"/>
        <v>59.523809523809526</v>
      </c>
    </row>
    <row r="1179" spans="6:10" ht="15">
      <c r="F1179" s="30">
        <v>18</v>
      </c>
      <c r="G1179" s="30">
        <v>22</v>
      </c>
      <c r="H1179" s="30">
        <v>550</v>
      </c>
      <c r="I1179" s="30">
        <f t="shared" si="34"/>
        <v>17600</v>
      </c>
      <c r="J1179" s="33">
        <f t="shared" si="35"/>
        <v>56.81818181818182</v>
      </c>
    </row>
    <row r="1180" spans="6:10" ht="15">
      <c r="F1180" s="30">
        <v>18</v>
      </c>
      <c r="G1180" s="30">
        <v>23</v>
      </c>
      <c r="H1180" s="30">
        <v>575</v>
      </c>
      <c r="I1180" s="30">
        <f t="shared" si="34"/>
        <v>18400</v>
      </c>
      <c r="J1180" s="33">
        <f t="shared" si="35"/>
        <v>54.347826086956523</v>
      </c>
    </row>
    <row r="1181" spans="6:10" ht="15">
      <c r="F1181" s="30">
        <v>18</v>
      </c>
      <c r="G1181" s="30">
        <v>24</v>
      </c>
      <c r="H1181" s="30">
        <v>600</v>
      </c>
      <c r="I1181" s="30">
        <f t="shared" si="34"/>
        <v>19200</v>
      </c>
      <c r="J1181" s="33">
        <f t="shared" si="35"/>
        <v>52.083333333333336</v>
      </c>
    </row>
    <row r="1182" spans="6:10" ht="15">
      <c r="F1182" s="30">
        <v>18</v>
      </c>
      <c r="G1182" s="30">
        <v>25</v>
      </c>
      <c r="H1182" s="30">
        <v>625</v>
      </c>
      <c r="I1182" s="30">
        <f t="shared" si="34"/>
        <v>20000</v>
      </c>
      <c r="J1182" s="33">
        <f t="shared" si="35"/>
        <v>50</v>
      </c>
    </row>
    <row r="1183" spans="6:10" ht="15">
      <c r="F1183" s="30">
        <v>18</v>
      </c>
      <c r="G1183" s="30">
        <v>26</v>
      </c>
      <c r="H1183" s="30">
        <v>650</v>
      </c>
      <c r="I1183" s="30">
        <f t="shared" si="34"/>
        <v>20800</v>
      </c>
      <c r="J1183" s="33">
        <f t="shared" si="35"/>
        <v>48.07692307692308</v>
      </c>
    </row>
    <row r="1184" spans="6:10" ht="15">
      <c r="F1184" s="30">
        <v>18</v>
      </c>
      <c r="G1184" s="30">
        <v>27</v>
      </c>
      <c r="H1184" s="30">
        <v>675</v>
      </c>
      <c r="I1184" s="30">
        <f t="shared" si="34"/>
        <v>21600</v>
      </c>
      <c r="J1184" s="33">
        <f t="shared" si="35"/>
        <v>46.296296296296291</v>
      </c>
    </row>
    <row r="1185" spans="6:10" ht="15">
      <c r="F1185" s="30">
        <v>18</v>
      </c>
      <c r="G1185" s="30">
        <v>28</v>
      </c>
      <c r="H1185" s="30">
        <v>700</v>
      </c>
      <c r="I1185" s="30">
        <f t="shared" si="34"/>
        <v>22400</v>
      </c>
      <c r="J1185" s="33">
        <f t="shared" si="35"/>
        <v>44.642857142857146</v>
      </c>
    </row>
    <row r="1186" spans="6:10" ht="15">
      <c r="F1186" s="30">
        <v>18</v>
      </c>
      <c r="G1186" s="30">
        <v>29</v>
      </c>
      <c r="H1186" s="30">
        <v>725</v>
      </c>
      <c r="I1186" s="30">
        <f t="shared" si="34"/>
        <v>23200</v>
      </c>
      <c r="J1186" s="33">
        <f t="shared" si="35"/>
        <v>43.103448275862064</v>
      </c>
    </row>
    <row r="1187" spans="6:10" ht="15">
      <c r="F1187" s="30">
        <v>18</v>
      </c>
      <c r="G1187" s="30">
        <v>30</v>
      </c>
      <c r="H1187" s="30">
        <v>750</v>
      </c>
      <c r="I1187" s="30">
        <f t="shared" si="34"/>
        <v>24000</v>
      </c>
      <c r="J1187" s="33">
        <f t="shared" si="35"/>
        <v>41.666666666666664</v>
      </c>
    </row>
    <row r="1188" spans="6:10" ht="15">
      <c r="F1188" s="30">
        <v>18</v>
      </c>
      <c r="G1188" s="30">
        <v>31</v>
      </c>
      <c r="H1188" s="30">
        <v>775</v>
      </c>
      <c r="I1188" s="30">
        <f t="shared" si="34"/>
        <v>24800</v>
      </c>
      <c r="J1188" s="33">
        <f t="shared" si="35"/>
        <v>40.322580645161288</v>
      </c>
    </row>
    <row r="1189" spans="6:10" ht="15">
      <c r="F1189" s="30">
        <v>18</v>
      </c>
      <c r="G1189" s="30">
        <v>32</v>
      </c>
      <c r="H1189" s="30">
        <v>800</v>
      </c>
      <c r="I1189" s="30">
        <f t="shared" si="34"/>
        <v>25600</v>
      </c>
      <c r="J1189" s="33">
        <f t="shared" si="35"/>
        <v>39.0625</v>
      </c>
    </row>
    <row r="1190" spans="6:10" ht="15">
      <c r="F1190" s="30">
        <v>18</v>
      </c>
      <c r="G1190" s="30">
        <v>33</v>
      </c>
      <c r="H1190" s="30">
        <v>825</v>
      </c>
      <c r="I1190" s="30">
        <f t="shared" si="34"/>
        <v>26400</v>
      </c>
      <c r="J1190" s="33">
        <f t="shared" si="35"/>
        <v>37.878787878787875</v>
      </c>
    </row>
    <row r="1191" spans="6:10" ht="15">
      <c r="F1191" s="30">
        <v>18</v>
      </c>
      <c r="G1191" s="30">
        <v>34</v>
      </c>
      <c r="H1191" s="30">
        <v>850</v>
      </c>
      <c r="I1191" s="30">
        <f t="shared" si="34"/>
        <v>27200</v>
      </c>
      <c r="J1191" s="33">
        <f t="shared" si="35"/>
        <v>36.764705882352935</v>
      </c>
    </row>
    <row r="1192" spans="6:10" ht="15">
      <c r="F1192" s="30">
        <v>18</v>
      </c>
      <c r="G1192" s="30">
        <v>35</v>
      </c>
      <c r="H1192" s="30">
        <v>875</v>
      </c>
      <c r="I1192" s="30">
        <f t="shared" si="34"/>
        <v>28000</v>
      </c>
      <c r="J1192" s="33">
        <f t="shared" si="35"/>
        <v>35.714285714285715</v>
      </c>
    </row>
    <row r="1193" spans="6:10" ht="15">
      <c r="F1193" s="30">
        <v>18</v>
      </c>
      <c r="G1193" s="30">
        <v>36</v>
      </c>
      <c r="H1193" s="30">
        <v>900</v>
      </c>
      <c r="I1193" s="30">
        <f t="shared" si="34"/>
        <v>28800</v>
      </c>
      <c r="J1193" s="33">
        <f t="shared" si="35"/>
        <v>34.722222222222221</v>
      </c>
    </row>
    <row r="1194" spans="6:10" ht="15">
      <c r="F1194" s="30">
        <v>18</v>
      </c>
      <c r="G1194" s="30">
        <v>37</v>
      </c>
      <c r="H1194" s="30">
        <v>925</v>
      </c>
      <c r="I1194" s="30">
        <f t="shared" si="34"/>
        <v>29600</v>
      </c>
      <c r="J1194" s="33">
        <f t="shared" si="35"/>
        <v>33.783783783783782</v>
      </c>
    </row>
    <row r="1195" spans="6:10" ht="15">
      <c r="F1195" s="30">
        <v>18</v>
      </c>
      <c r="G1195" s="30">
        <v>38</v>
      </c>
      <c r="H1195" s="30">
        <v>950</v>
      </c>
      <c r="I1195" s="30">
        <f t="shared" si="34"/>
        <v>30400</v>
      </c>
      <c r="J1195" s="33">
        <f t="shared" si="35"/>
        <v>32.89473684210526</v>
      </c>
    </row>
    <row r="1196" spans="6:10" ht="15">
      <c r="F1196" s="30">
        <v>18</v>
      </c>
      <c r="G1196" s="30">
        <v>39</v>
      </c>
      <c r="H1196" s="30">
        <v>975</v>
      </c>
      <c r="I1196" s="30">
        <f t="shared" si="34"/>
        <v>31200</v>
      </c>
      <c r="J1196" s="33">
        <f t="shared" si="35"/>
        <v>32.051282051282051</v>
      </c>
    </row>
    <row r="1197" spans="6:10" ht="15">
      <c r="F1197" s="30">
        <v>18</v>
      </c>
      <c r="G1197" s="30">
        <v>40</v>
      </c>
      <c r="H1197" s="30">
        <v>1000</v>
      </c>
      <c r="I1197" s="30">
        <f t="shared" si="34"/>
        <v>32000</v>
      </c>
      <c r="J1197" s="33">
        <f t="shared" si="35"/>
        <v>31.25</v>
      </c>
    </row>
    <row r="1198" spans="6:10" ht="15">
      <c r="F1198" s="30">
        <v>18</v>
      </c>
      <c r="G1198" s="30">
        <v>41</v>
      </c>
      <c r="H1198" s="30">
        <v>1025</v>
      </c>
      <c r="I1198" s="30">
        <f t="shared" si="34"/>
        <v>32800</v>
      </c>
      <c r="J1198" s="33">
        <f t="shared" si="35"/>
        <v>30.487804878048781</v>
      </c>
    </row>
    <row r="1199" spans="6:10" ht="15">
      <c r="F1199" s="30">
        <v>18</v>
      </c>
      <c r="G1199" s="30">
        <v>42</v>
      </c>
      <c r="H1199" s="30">
        <v>1050</v>
      </c>
      <c r="I1199" s="30">
        <f t="shared" si="34"/>
        <v>33600</v>
      </c>
      <c r="J1199" s="33">
        <f t="shared" si="35"/>
        <v>29.761904761904763</v>
      </c>
    </row>
    <row r="1200" spans="6:10" ht="15">
      <c r="F1200" s="30">
        <v>18</v>
      </c>
      <c r="G1200" s="30">
        <v>43</v>
      </c>
      <c r="H1200" s="30">
        <v>1075</v>
      </c>
      <c r="I1200" s="30">
        <f t="shared" si="34"/>
        <v>34400</v>
      </c>
      <c r="J1200" s="33">
        <f t="shared" si="35"/>
        <v>29.069767441860467</v>
      </c>
    </row>
    <row r="1201" spans="6:10" ht="15">
      <c r="F1201" s="30">
        <v>18</v>
      </c>
      <c r="G1201" s="30">
        <v>44</v>
      </c>
      <c r="H1201" s="30">
        <v>1100</v>
      </c>
      <c r="I1201" s="30">
        <f t="shared" si="34"/>
        <v>35200</v>
      </c>
      <c r="J1201" s="33">
        <f t="shared" si="35"/>
        <v>28.40909090909091</v>
      </c>
    </row>
    <row r="1202" spans="6:10" ht="15">
      <c r="F1202" s="30">
        <v>18</v>
      </c>
      <c r="G1202" s="30">
        <v>45</v>
      </c>
      <c r="H1202" s="30">
        <v>1125</v>
      </c>
      <c r="I1202" s="30">
        <f t="shared" si="34"/>
        <v>36000</v>
      </c>
      <c r="J1202" s="33">
        <f t="shared" si="35"/>
        <v>27.777777777777779</v>
      </c>
    </row>
    <row r="1203" spans="6:10" ht="15">
      <c r="F1203" s="30">
        <v>18</v>
      </c>
      <c r="G1203" s="30">
        <v>46</v>
      </c>
      <c r="H1203" s="30">
        <v>1150</v>
      </c>
      <c r="I1203" s="30">
        <f t="shared" si="34"/>
        <v>36800</v>
      </c>
      <c r="J1203" s="33">
        <f t="shared" si="35"/>
        <v>27.173913043478262</v>
      </c>
    </row>
    <row r="1204" spans="6:10" ht="15">
      <c r="F1204" s="30">
        <v>18</v>
      </c>
      <c r="G1204" s="30">
        <v>47</v>
      </c>
      <c r="H1204" s="30">
        <v>1175</v>
      </c>
      <c r="I1204" s="30">
        <f t="shared" si="34"/>
        <v>37600</v>
      </c>
      <c r="J1204" s="33">
        <f t="shared" si="35"/>
        <v>26.595744680851062</v>
      </c>
    </row>
    <row r="1205" spans="6:10" ht="15">
      <c r="F1205" s="30">
        <v>18</v>
      </c>
      <c r="G1205" s="30">
        <v>48</v>
      </c>
      <c r="H1205" s="30">
        <v>1200</v>
      </c>
      <c r="I1205" s="30">
        <f t="shared" si="34"/>
        <v>38400</v>
      </c>
      <c r="J1205" s="33">
        <f t="shared" si="35"/>
        <v>26.041666666666668</v>
      </c>
    </row>
    <row r="1206" spans="6:10" ht="15">
      <c r="F1206" s="30">
        <v>18</v>
      </c>
      <c r="G1206" s="30">
        <v>49</v>
      </c>
      <c r="H1206" s="30">
        <v>1225</v>
      </c>
      <c r="I1206" s="30">
        <f t="shared" si="34"/>
        <v>39200</v>
      </c>
      <c r="J1206" s="33">
        <f t="shared" si="35"/>
        <v>25.510204081632654</v>
      </c>
    </row>
    <row r="1207" spans="6:10" ht="15">
      <c r="F1207" s="30">
        <v>18</v>
      </c>
      <c r="G1207" s="30">
        <v>50</v>
      </c>
      <c r="H1207" s="30">
        <v>1250</v>
      </c>
      <c r="I1207" s="30">
        <f t="shared" si="34"/>
        <v>40000</v>
      </c>
      <c r="J1207" s="33">
        <f t="shared" si="35"/>
        <v>25</v>
      </c>
    </row>
    <row r="1208" spans="6:10" ht="15">
      <c r="F1208" s="30">
        <v>18</v>
      </c>
      <c r="G1208" s="30">
        <v>51</v>
      </c>
      <c r="H1208" s="30">
        <v>1275</v>
      </c>
      <c r="I1208" s="30">
        <f t="shared" si="34"/>
        <v>40800</v>
      </c>
      <c r="J1208" s="33">
        <f t="shared" si="35"/>
        <v>24.509803921568626</v>
      </c>
    </row>
    <row r="1209" spans="6:10" ht="15">
      <c r="F1209" s="30">
        <v>18</v>
      </c>
      <c r="G1209" s="30">
        <v>52</v>
      </c>
      <c r="H1209" s="30">
        <v>1300</v>
      </c>
      <c r="I1209" s="30">
        <f t="shared" si="34"/>
        <v>41600</v>
      </c>
      <c r="J1209" s="33">
        <f t="shared" si="35"/>
        <v>24.03846153846154</v>
      </c>
    </row>
    <row r="1210" spans="6:10" ht="15">
      <c r="F1210" s="30">
        <v>18</v>
      </c>
      <c r="G1210" s="30">
        <v>53</v>
      </c>
      <c r="H1210" s="30">
        <v>1325</v>
      </c>
      <c r="I1210" s="30">
        <f t="shared" si="34"/>
        <v>42400</v>
      </c>
      <c r="J1210" s="33">
        <f t="shared" si="35"/>
        <v>23.584905660377359</v>
      </c>
    </row>
    <row r="1211" spans="6:10" ht="15">
      <c r="F1211" s="30">
        <v>18</v>
      </c>
      <c r="G1211" s="30">
        <v>54</v>
      </c>
      <c r="H1211" s="30">
        <v>1350</v>
      </c>
      <c r="I1211" s="30">
        <f t="shared" si="34"/>
        <v>43200</v>
      </c>
      <c r="J1211" s="33">
        <f t="shared" si="35"/>
        <v>23.148148148148145</v>
      </c>
    </row>
    <row r="1212" spans="6:10" ht="15">
      <c r="F1212" s="30">
        <v>18</v>
      </c>
      <c r="G1212" s="30">
        <v>55</v>
      </c>
      <c r="H1212" s="30">
        <v>1375</v>
      </c>
      <c r="I1212" s="30">
        <f t="shared" si="34"/>
        <v>44000</v>
      </c>
      <c r="J1212" s="33">
        <f t="shared" si="35"/>
        <v>22.727272727272727</v>
      </c>
    </row>
    <row r="1213" spans="6:10" ht="15">
      <c r="F1213" s="30">
        <v>18</v>
      </c>
      <c r="G1213" s="30">
        <v>56</v>
      </c>
      <c r="H1213" s="30">
        <v>1400</v>
      </c>
      <c r="I1213" s="30">
        <f t="shared" si="34"/>
        <v>44800</v>
      </c>
      <c r="J1213" s="33">
        <f t="shared" si="35"/>
        <v>22.321428571428573</v>
      </c>
    </row>
    <row r="1214" spans="6:10" ht="15">
      <c r="F1214" s="30">
        <v>18</v>
      </c>
      <c r="G1214" s="30">
        <v>57</v>
      </c>
      <c r="H1214" s="30">
        <v>1425</v>
      </c>
      <c r="I1214" s="30">
        <f t="shared" si="34"/>
        <v>45600</v>
      </c>
      <c r="J1214" s="33">
        <f t="shared" si="35"/>
        <v>21.929824561403507</v>
      </c>
    </row>
    <row r="1215" spans="6:10" ht="15">
      <c r="F1215" s="30">
        <v>18</v>
      </c>
      <c r="G1215" s="30">
        <v>58</v>
      </c>
      <c r="H1215" s="30">
        <v>1450</v>
      </c>
      <c r="I1215" s="30">
        <f t="shared" si="34"/>
        <v>46400</v>
      </c>
      <c r="J1215" s="33">
        <f t="shared" si="35"/>
        <v>21.551724137931032</v>
      </c>
    </row>
    <row r="1216" spans="6:10" ht="15">
      <c r="F1216" s="30">
        <v>18</v>
      </c>
      <c r="G1216" s="30">
        <v>59</v>
      </c>
      <c r="H1216" s="30">
        <v>1475</v>
      </c>
      <c r="I1216" s="30">
        <f t="shared" si="34"/>
        <v>47200</v>
      </c>
      <c r="J1216" s="33">
        <f t="shared" si="35"/>
        <v>21.186440677966104</v>
      </c>
    </row>
    <row r="1217" spans="6:10" ht="15">
      <c r="F1217" s="30">
        <v>18</v>
      </c>
      <c r="G1217" s="30">
        <v>60</v>
      </c>
      <c r="H1217" s="30">
        <v>1500</v>
      </c>
      <c r="I1217" s="30">
        <f t="shared" si="34"/>
        <v>48000</v>
      </c>
      <c r="J1217" s="33">
        <f t="shared" si="35"/>
        <v>20.833333333333332</v>
      </c>
    </row>
    <row r="1218" spans="6:10" ht="15">
      <c r="F1218" s="30">
        <v>18</v>
      </c>
      <c r="G1218" s="30">
        <v>61</v>
      </c>
      <c r="H1218" s="30">
        <v>1525</v>
      </c>
      <c r="I1218" s="30">
        <f t="shared" si="34"/>
        <v>48800</v>
      </c>
      <c r="J1218" s="33">
        <f t="shared" si="35"/>
        <v>20.491803278688526</v>
      </c>
    </row>
    <row r="1219" spans="6:10" ht="15">
      <c r="F1219" s="30">
        <v>18</v>
      </c>
      <c r="G1219" s="30">
        <v>62</v>
      </c>
      <c r="H1219" s="30">
        <v>1550</v>
      </c>
      <c r="I1219" s="30">
        <f t="shared" si="34"/>
        <v>49600</v>
      </c>
      <c r="J1219" s="33">
        <f t="shared" si="35"/>
        <v>20.161290322580644</v>
      </c>
    </row>
    <row r="1220" spans="6:10" ht="15">
      <c r="F1220" s="30">
        <v>18</v>
      </c>
      <c r="G1220" s="30">
        <v>63</v>
      </c>
      <c r="H1220" s="30">
        <v>1575</v>
      </c>
      <c r="I1220" s="30">
        <f t="shared" si="34"/>
        <v>50400</v>
      </c>
      <c r="J1220" s="33">
        <f t="shared" si="35"/>
        <v>19.841269841269842</v>
      </c>
    </row>
    <row r="1221" spans="6:10" ht="15">
      <c r="F1221" s="30">
        <v>18</v>
      </c>
      <c r="G1221" s="30">
        <v>64</v>
      </c>
      <c r="H1221" s="30">
        <v>1600</v>
      </c>
      <c r="I1221" s="30">
        <f t="shared" si="34"/>
        <v>51200</v>
      </c>
      <c r="J1221" s="33">
        <f t="shared" si="35"/>
        <v>19.53125</v>
      </c>
    </row>
    <row r="1222" spans="6:10" ht="15">
      <c r="F1222" s="30">
        <v>19</v>
      </c>
      <c r="G1222" s="30">
        <v>1</v>
      </c>
      <c r="H1222" s="30">
        <v>25</v>
      </c>
      <c r="I1222" s="30">
        <f t="shared" si="34"/>
        <v>825</v>
      </c>
      <c r="J1222" s="33">
        <f t="shared" si="35"/>
        <v>1212.121212121212</v>
      </c>
    </row>
    <row r="1223" spans="6:10" ht="15">
      <c r="F1223" s="30">
        <v>19</v>
      </c>
      <c r="G1223" s="30">
        <v>2</v>
      </c>
      <c r="H1223" s="30">
        <v>50</v>
      </c>
      <c r="I1223" s="30">
        <f t="shared" ref="I1223:I1286" si="36">(14+F1223)*H1223</f>
        <v>1650</v>
      </c>
      <c r="J1223" s="33">
        <f t="shared" ref="J1223:J1286" si="37">(1/I1223)*1000000</f>
        <v>606.06060606060601</v>
      </c>
    </row>
    <row r="1224" spans="6:10" ht="15">
      <c r="F1224" s="30">
        <v>19</v>
      </c>
      <c r="G1224" s="30">
        <v>3</v>
      </c>
      <c r="H1224" s="30">
        <v>75</v>
      </c>
      <c r="I1224" s="30">
        <f t="shared" si="36"/>
        <v>2475</v>
      </c>
      <c r="J1224" s="33">
        <f t="shared" si="37"/>
        <v>404.04040404040404</v>
      </c>
    </row>
    <row r="1225" spans="6:10" ht="15">
      <c r="F1225" s="30">
        <v>19</v>
      </c>
      <c r="G1225" s="30">
        <v>4</v>
      </c>
      <c r="H1225" s="30">
        <v>100</v>
      </c>
      <c r="I1225" s="30">
        <f t="shared" si="36"/>
        <v>3300</v>
      </c>
      <c r="J1225" s="33">
        <f t="shared" si="37"/>
        <v>303.030303030303</v>
      </c>
    </row>
    <row r="1226" spans="6:10" ht="15">
      <c r="F1226" s="30">
        <v>19</v>
      </c>
      <c r="G1226" s="30">
        <v>5</v>
      </c>
      <c r="H1226" s="30">
        <v>125</v>
      </c>
      <c r="I1226" s="30">
        <f t="shared" si="36"/>
        <v>4125</v>
      </c>
      <c r="J1226" s="33">
        <f t="shared" si="37"/>
        <v>242.42424242424241</v>
      </c>
    </row>
    <row r="1227" spans="6:10" ht="15">
      <c r="F1227" s="30">
        <v>19</v>
      </c>
      <c r="G1227" s="30">
        <v>6</v>
      </c>
      <c r="H1227" s="30">
        <v>150</v>
      </c>
      <c r="I1227" s="30">
        <f t="shared" si="36"/>
        <v>4950</v>
      </c>
      <c r="J1227" s="33">
        <f t="shared" si="37"/>
        <v>202.02020202020202</v>
      </c>
    </row>
    <row r="1228" spans="6:10" ht="15">
      <c r="F1228" s="30">
        <v>19</v>
      </c>
      <c r="G1228" s="30">
        <v>7</v>
      </c>
      <c r="H1228" s="30">
        <v>175</v>
      </c>
      <c r="I1228" s="30">
        <f t="shared" si="36"/>
        <v>5775</v>
      </c>
      <c r="J1228" s="33">
        <f t="shared" si="37"/>
        <v>173.16017316017317</v>
      </c>
    </row>
    <row r="1229" spans="6:10" ht="15">
      <c r="F1229" s="30">
        <v>19</v>
      </c>
      <c r="G1229" s="30">
        <v>8</v>
      </c>
      <c r="H1229" s="30">
        <v>200</v>
      </c>
      <c r="I1229" s="30">
        <f t="shared" si="36"/>
        <v>6600</v>
      </c>
      <c r="J1229" s="33">
        <f t="shared" si="37"/>
        <v>151.5151515151515</v>
      </c>
    </row>
    <row r="1230" spans="6:10" ht="15">
      <c r="F1230" s="30">
        <v>19</v>
      </c>
      <c r="G1230" s="30">
        <v>9</v>
      </c>
      <c r="H1230" s="30">
        <v>225</v>
      </c>
      <c r="I1230" s="30">
        <f t="shared" si="36"/>
        <v>7425</v>
      </c>
      <c r="J1230" s="33">
        <f t="shared" si="37"/>
        <v>134.68013468013467</v>
      </c>
    </row>
    <row r="1231" spans="6:10" ht="15">
      <c r="F1231" s="30">
        <v>19</v>
      </c>
      <c r="G1231" s="30">
        <v>10</v>
      </c>
      <c r="H1231" s="30">
        <v>250</v>
      </c>
      <c r="I1231" s="30">
        <f t="shared" si="36"/>
        <v>8250</v>
      </c>
      <c r="J1231" s="33">
        <f t="shared" si="37"/>
        <v>121.2121212121212</v>
      </c>
    </row>
    <row r="1232" spans="6:10" ht="15">
      <c r="F1232" s="30">
        <v>19</v>
      </c>
      <c r="G1232" s="30">
        <v>11</v>
      </c>
      <c r="H1232" s="30">
        <v>275</v>
      </c>
      <c r="I1232" s="30">
        <f t="shared" si="36"/>
        <v>9075</v>
      </c>
      <c r="J1232" s="33">
        <f t="shared" si="37"/>
        <v>110.19283746556474</v>
      </c>
    </row>
    <row r="1233" spans="6:10" ht="15">
      <c r="F1233" s="30">
        <v>19</v>
      </c>
      <c r="G1233" s="30">
        <v>12</v>
      </c>
      <c r="H1233" s="30">
        <v>300</v>
      </c>
      <c r="I1233" s="30">
        <f t="shared" si="36"/>
        <v>9900</v>
      </c>
      <c r="J1233" s="33">
        <f t="shared" si="37"/>
        <v>101.01010101010101</v>
      </c>
    </row>
    <row r="1234" spans="6:10" ht="15">
      <c r="F1234" s="30">
        <v>19</v>
      </c>
      <c r="G1234" s="30">
        <v>13</v>
      </c>
      <c r="H1234" s="30">
        <v>325</v>
      </c>
      <c r="I1234" s="30">
        <f t="shared" si="36"/>
        <v>10725</v>
      </c>
      <c r="J1234" s="33">
        <f t="shared" si="37"/>
        <v>93.240093240093245</v>
      </c>
    </row>
    <row r="1235" spans="6:10" ht="15">
      <c r="F1235" s="30">
        <v>19</v>
      </c>
      <c r="G1235" s="30">
        <v>14</v>
      </c>
      <c r="H1235" s="30">
        <v>350</v>
      </c>
      <c r="I1235" s="30">
        <f t="shared" si="36"/>
        <v>11550</v>
      </c>
      <c r="J1235" s="33">
        <f t="shared" si="37"/>
        <v>86.580086580086586</v>
      </c>
    </row>
    <row r="1236" spans="6:10" ht="15">
      <c r="F1236" s="30">
        <v>19</v>
      </c>
      <c r="G1236" s="30">
        <v>15</v>
      </c>
      <c r="H1236" s="30">
        <v>375</v>
      </c>
      <c r="I1236" s="30">
        <f t="shared" si="36"/>
        <v>12375</v>
      </c>
      <c r="J1236" s="33">
        <f t="shared" si="37"/>
        <v>80.808080808080817</v>
      </c>
    </row>
    <row r="1237" spans="6:10" ht="15">
      <c r="F1237" s="30">
        <v>19</v>
      </c>
      <c r="G1237" s="30">
        <v>16</v>
      </c>
      <c r="H1237" s="30">
        <v>400</v>
      </c>
      <c r="I1237" s="30">
        <f t="shared" si="36"/>
        <v>13200</v>
      </c>
      <c r="J1237" s="33">
        <f t="shared" si="37"/>
        <v>75.757575757575751</v>
      </c>
    </row>
    <row r="1238" spans="6:10" ht="15">
      <c r="F1238" s="30">
        <v>19</v>
      </c>
      <c r="G1238" s="30">
        <v>17</v>
      </c>
      <c r="H1238" s="30">
        <v>425</v>
      </c>
      <c r="I1238" s="30">
        <f t="shared" si="36"/>
        <v>14025</v>
      </c>
      <c r="J1238" s="33">
        <f t="shared" si="37"/>
        <v>71.301247771836003</v>
      </c>
    </row>
    <row r="1239" spans="6:10" ht="15">
      <c r="F1239" s="30">
        <v>19</v>
      </c>
      <c r="G1239" s="30">
        <v>18</v>
      </c>
      <c r="H1239" s="30">
        <v>450</v>
      </c>
      <c r="I1239" s="30">
        <f t="shared" si="36"/>
        <v>14850</v>
      </c>
      <c r="J1239" s="33">
        <f t="shared" si="37"/>
        <v>67.340067340067336</v>
      </c>
    </row>
    <row r="1240" spans="6:10" ht="15">
      <c r="F1240" s="30">
        <v>19</v>
      </c>
      <c r="G1240" s="30">
        <v>19</v>
      </c>
      <c r="H1240" s="30">
        <v>475</v>
      </c>
      <c r="I1240" s="30">
        <f t="shared" si="36"/>
        <v>15675</v>
      </c>
      <c r="J1240" s="33">
        <f t="shared" si="37"/>
        <v>63.795853269537488</v>
      </c>
    </row>
    <row r="1241" spans="6:10" ht="15">
      <c r="F1241" s="30">
        <v>19</v>
      </c>
      <c r="G1241" s="30">
        <v>20</v>
      </c>
      <c r="H1241" s="30">
        <v>500</v>
      </c>
      <c r="I1241" s="30">
        <f t="shared" si="36"/>
        <v>16500</v>
      </c>
      <c r="J1241" s="33">
        <f t="shared" si="37"/>
        <v>60.606060606060602</v>
      </c>
    </row>
    <row r="1242" spans="6:10" ht="15">
      <c r="F1242" s="30">
        <v>19</v>
      </c>
      <c r="G1242" s="30">
        <v>21</v>
      </c>
      <c r="H1242" s="30">
        <v>525</v>
      </c>
      <c r="I1242" s="30">
        <f t="shared" si="36"/>
        <v>17325</v>
      </c>
      <c r="J1242" s="33">
        <f t="shared" si="37"/>
        <v>57.720057720057717</v>
      </c>
    </row>
    <row r="1243" spans="6:10" ht="15">
      <c r="F1243" s="30">
        <v>19</v>
      </c>
      <c r="G1243" s="30">
        <v>22</v>
      </c>
      <c r="H1243" s="30">
        <v>550</v>
      </c>
      <c r="I1243" s="30">
        <f t="shared" si="36"/>
        <v>18150</v>
      </c>
      <c r="J1243" s="33">
        <f t="shared" si="37"/>
        <v>55.096418732782368</v>
      </c>
    </row>
    <row r="1244" spans="6:10" ht="15">
      <c r="F1244" s="30">
        <v>19</v>
      </c>
      <c r="G1244" s="30">
        <v>23</v>
      </c>
      <c r="H1244" s="30">
        <v>575</v>
      </c>
      <c r="I1244" s="30">
        <f t="shared" si="36"/>
        <v>18975</v>
      </c>
      <c r="J1244" s="33">
        <f t="shared" si="37"/>
        <v>52.700922266139656</v>
      </c>
    </row>
    <row r="1245" spans="6:10" ht="15">
      <c r="F1245" s="30">
        <v>19</v>
      </c>
      <c r="G1245" s="30">
        <v>24</v>
      </c>
      <c r="H1245" s="30">
        <v>600</v>
      </c>
      <c r="I1245" s="30">
        <f t="shared" si="36"/>
        <v>19800</v>
      </c>
      <c r="J1245" s="33">
        <f t="shared" si="37"/>
        <v>50.505050505050505</v>
      </c>
    </row>
    <row r="1246" spans="6:10" ht="15">
      <c r="F1246" s="30">
        <v>19</v>
      </c>
      <c r="G1246" s="30">
        <v>25</v>
      </c>
      <c r="H1246" s="30">
        <v>625</v>
      </c>
      <c r="I1246" s="30">
        <f t="shared" si="36"/>
        <v>20625</v>
      </c>
      <c r="J1246" s="33">
        <f t="shared" si="37"/>
        <v>48.484848484848484</v>
      </c>
    </row>
    <row r="1247" spans="6:10" ht="15">
      <c r="F1247" s="30">
        <v>19</v>
      </c>
      <c r="G1247" s="30">
        <v>26</v>
      </c>
      <c r="H1247" s="30">
        <v>650</v>
      </c>
      <c r="I1247" s="30">
        <f t="shared" si="36"/>
        <v>21450</v>
      </c>
      <c r="J1247" s="33">
        <f t="shared" si="37"/>
        <v>46.620046620046622</v>
      </c>
    </row>
    <row r="1248" spans="6:10" ht="15">
      <c r="F1248" s="30">
        <v>19</v>
      </c>
      <c r="G1248" s="30">
        <v>27</v>
      </c>
      <c r="H1248" s="30">
        <v>675</v>
      </c>
      <c r="I1248" s="30">
        <f t="shared" si="36"/>
        <v>22275</v>
      </c>
      <c r="J1248" s="33">
        <f t="shared" si="37"/>
        <v>44.893378226711562</v>
      </c>
    </row>
    <row r="1249" spans="6:10" ht="15">
      <c r="F1249" s="30">
        <v>19</v>
      </c>
      <c r="G1249" s="30">
        <v>28</v>
      </c>
      <c r="H1249" s="30">
        <v>700</v>
      </c>
      <c r="I1249" s="30">
        <f t="shared" si="36"/>
        <v>23100</v>
      </c>
      <c r="J1249" s="33">
        <f t="shared" si="37"/>
        <v>43.290043290043293</v>
      </c>
    </row>
    <row r="1250" spans="6:10" ht="15">
      <c r="F1250" s="30">
        <v>19</v>
      </c>
      <c r="G1250" s="30">
        <v>29</v>
      </c>
      <c r="H1250" s="30">
        <v>725</v>
      </c>
      <c r="I1250" s="30">
        <f t="shared" si="36"/>
        <v>23925</v>
      </c>
      <c r="J1250" s="33">
        <f t="shared" si="37"/>
        <v>41.797283176593524</v>
      </c>
    </row>
    <row r="1251" spans="6:10" ht="15">
      <c r="F1251" s="30">
        <v>19</v>
      </c>
      <c r="G1251" s="30">
        <v>30</v>
      </c>
      <c r="H1251" s="30">
        <v>750</v>
      </c>
      <c r="I1251" s="30">
        <f t="shared" si="36"/>
        <v>24750</v>
      </c>
      <c r="J1251" s="33">
        <f t="shared" si="37"/>
        <v>40.404040404040408</v>
      </c>
    </row>
    <row r="1252" spans="6:10" ht="15">
      <c r="F1252" s="30">
        <v>19</v>
      </c>
      <c r="G1252" s="30">
        <v>31</v>
      </c>
      <c r="H1252" s="30">
        <v>775</v>
      </c>
      <c r="I1252" s="30">
        <f t="shared" si="36"/>
        <v>25575</v>
      </c>
      <c r="J1252" s="33">
        <f t="shared" si="37"/>
        <v>39.100684261974585</v>
      </c>
    </row>
    <row r="1253" spans="6:10" ht="15">
      <c r="F1253" s="30">
        <v>19</v>
      </c>
      <c r="G1253" s="30">
        <v>32</v>
      </c>
      <c r="H1253" s="30">
        <v>800</v>
      </c>
      <c r="I1253" s="30">
        <f t="shared" si="36"/>
        <v>26400</v>
      </c>
      <c r="J1253" s="33">
        <f t="shared" si="37"/>
        <v>37.878787878787875</v>
      </c>
    </row>
    <row r="1254" spans="6:10" ht="15">
      <c r="F1254" s="30">
        <v>19</v>
      </c>
      <c r="G1254" s="30">
        <v>33</v>
      </c>
      <c r="H1254" s="30">
        <v>825</v>
      </c>
      <c r="I1254" s="30">
        <f t="shared" si="36"/>
        <v>27225</v>
      </c>
      <c r="J1254" s="33">
        <f t="shared" si="37"/>
        <v>36.730945821854917</v>
      </c>
    </row>
    <row r="1255" spans="6:10" ht="15">
      <c r="F1255" s="30">
        <v>19</v>
      </c>
      <c r="G1255" s="30">
        <v>34</v>
      </c>
      <c r="H1255" s="30">
        <v>850</v>
      </c>
      <c r="I1255" s="30">
        <f t="shared" si="36"/>
        <v>28050</v>
      </c>
      <c r="J1255" s="33">
        <f t="shared" si="37"/>
        <v>35.650623885918002</v>
      </c>
    </row>
    <row r="1256" spans="6:10" ht="15">
      <c r="F1256" s="30">
        <v>19</v>
      </c>
      <c r="G1256" s="30">
        <v>35</v>
      </c>
      <c r="H1256" s="30">
        <v>875</v>
      </c>
      <c r="I1256" s="30">
        <f t="shared" si="36"/>
        <v>28875</v>
      </c>
      <c r="J1256" s="33">
        <f t="shared" si="37"/>
        <v>34.632034632034632</v>
      </c>
    </row>
    <row r="1257" spans="6:10" ht="15">
      <c r="F1257" s="30">
        <v>19</v>
      </c>
      <c r="G1257" s="30">
        <v>36</v>
      </c>
      <c r="H1257" s="30">
        <v>900</v>
      </c>
      <c r="I1257" s="30">
        <f t="shared" si="36"/>
        <v>29700</v>
      </c>
      <c r="J1257" s="33">
        <f t="shared" si="37"/>
        <v>33.670033670033668</v>
      </c>
    </row>
    <row r="1258" spans="6:10" ht="15">
      <c r="F1258" s="30">
        <v>19</v>
      </c>
      <c r="G1258" s="30">
        <v>37</v>
      </c>
      <c r="H1258" s="30">
        <v>925</v>
      </c>
      <c r="I1258" s="30">
        <f t="shared" si="36"/>
        <v>30525</v>
      </c>
      <c r="J1258" s="33">
        <f t="shared" si="37"/>
        <v>32.760032760032765</v>
      </c>
    </row>
    <row r="1259" spans="6:10" ht="15">
      <c r="F1259" s="30">
        <v>19</v>
      </c>
      <c r="G1259" s="30">
        <v>38</v>
      </c>
      <c r="H1259" s="30">
        <v>950</v>
      </c>
      <c r="I1259" s="30">
        <f t="shared" si="36"/>
        <v>31350</v>
      </c>
      <c r="J1259" s="33">
        <f t="shared" si="37"/>
        <v>31.897926634768744</v>
      </c>
    </row>
    <row r="1260" spans="6:10" ht="15">
      <c r="F1260" s="30">
        <v>19</v>
      </c>
      <c r="G1260" s="30">
        <v>39</v>
      </c>
      <c r="H1260" s="30">
        <v>975</v>
      </c>
      <c r="I1260" s="30">
        <f t="shared" si="36"/>
        <v>32175</v>
      </c>
      <c r="J1260" s="33">
        <f t="shared" si="37"/>
        <v>31.08003108003108</v>
      </c>
    </row>
    <row r="1261" spans="6:10" ht="15">
      <c r="F1261" s="30">
        <v>19</v>
      </c>
      <c r="G1261" s="30">
        <v>40</v>
      </c>
      <c r="H1261" s="30">
        <v>1000</v>
      </c>
      <c r="I1261" s="30">
        <f t="shared" si="36"/>
        <v>33000</v>
      </c>
      <c r="J1261" s="33">
        <f t="shared" si="37"/>
        <v>30.303030303030301</v>
      </c>
    </row>
    <row r="1262" spans="6:10" ht="15">
      <c r="F1262" s="30">
        <v>19</v>
      </c>
      <c r="G1262" s="30">
        <v>41</v>
      </c>
      <c r="H1262" s="30">
        <v>1025</v>
      </c>
      <c r="I1262" s="30">
        <f t="shared" si="36"/>
        <v>33825</v>
      </c>
      <c r="J1262" s="33">
        <f t="shared" si="37"/>
        <v>29.563932002956392</v>
      </c>
    </row>
    <row r="1263" spans="6:10" ht="15">
      <c r="F1263" s="30">
        <v>19</v>
      </c>
      <c r="G1263" s="30">
        <v>42</v>
      </c>
      <c r="H1263" s="30">
        <v>1050</v>
      </c>
      <c r="I1263" s="30">
        <f t="shared" si="36"/>
        <v>34650</v>
      </c>
      <c r="J1263" s="33">
        <f t="shared" si="37"/>
        <v>28.860028860028859</v>
      </c>
    </row>
    <row r="1264" spans="6:10" ht="15">
      <c r="F1264" s="30">
        <v>19</v>
      </c>
      <c r="G1264" s="30">
        <v>43</v>
      </c>
      <c r="H1264" s="30">
        <v>1075</v>
      </c>
      <c r="I1264" s="30">
        <f t="shared" si="36"/>
        <v>35475</v>
      </c>
      <c r="J1264" s="33">
        <f t="shared" si="37"/>
        <v>28.188865398167724</v>
      </c>
    </row>
    <row r="1265" spans="6:10" ht="15">
      <c r="F1265" s="30">
        <v>19</v>
      </c>
      <c r="G1265" s="30">
        <v>44</v>
      </c>
      <c r="H1265" s="30">
        <v>1100</v>
      </c>
      <c r="I1265" s="30">
        <f t="shared" si="36"/>
        <v>36300</v>
      </c>
      <c r="J1265" s="33">
        <f t="shared" si="37"/>
        <v>27.548209366391184</v>
      </c>
    </row>
    <row r="1266" spans="6:10" ht="15">
      <c r="F1266" s="30">
        <v>19</v>
      </c>
      <c r="G1266" s="30">
        <v>45</v>
      </c>
      <c r="H1266" s="30">
        <v>1125</v>
      </c>
      <c r="I1266" s="30">
        <f t="shared" si="36"/>
        <v>37125</v>
      </c>
      <c r="J1266" s="33">
        <f t="shared" si="37"/>
        <v>26.936026936026938</v>
      </c>
    </row>
    <row r="1267" spans="6:10" ht="15">
      <c r="F1267" s="30">
        <v>19</v>
      </c>
      <c r="G1267" s="30">
        <v>46</v>
      </c>
      <c r="H1267" s="30">
        <v>1150</v>
      </c>
      <c r="I1267" s="30">
        <f t="shared" si="36"/>
        <v>37950</v>
      </c>
      <c r="J1267" s="33">
        <f t="shared" si="37"/>
        <v>26.350461133069828</v>
      </c>
    </row>
    <row r="1268" spans="6:10" ht="15">
      <c r="F1268" s="30">
        <v>19</v>
      </c>
      <c r="G1268" s="30">
        <v>47</v>
      </c>
      <c r="H1268" s="30">
        <v>1175</v>
      </c>
      <c r="I1268" s="30">
        <f t="shared" si="36"/>
        <v>38775</v>
      </c>
      <c r="J1268" s="33">
        <f t="shared" si="37"/>
        <v>25.789813023855576</v>
      </c>
    </row>
    <row r="1269" spans="6:10" ht="15">
      <c r="F1269" s="30">
        <v>19</v>
      </c>
      <c r="G1269" s="30">
        <v>48</v>
      </c>
      <c r="H1269" s="30">
        <v>1200</v>
      </c>
      <c r="I1269" s="30">
        <f t="shared" si="36"/>
        <v>39600</v>
      </c>
      <c r="J1269" s="33">
        <f t="shared" si="37"/>
        <v>25.252525252525253</v>
      </c>
    </row>
    <row r="1270" spans="6:10" ht="15">
      <c r="F1270" s="30">
        <v>19</v>
      </c>
      <c r="G1270" s="30">
        <v>49</v>
      </c>
      <c r="H1270" s="30">
        <v>1225</v>
      </c>
      <c r="I1270" s="30">
        <f t="shared" si="36"/>
        <v>40425</v>
      </c>
      <c r="J1270" s="33">
        <f t="shared" si="37"/>
        <v>24.737167594310453</v>
      </c>
    </row>
    <row r="1271" spans="6:10" ht="15">
      <c r="F1271" s="30">
        <v>19</v>
      </c>
      <c r="G1271" s="30">
        <v>50</v>
      </c>
      <c r="H1271" s="30">
        <v>1250</v>
      </c>
      <c r="I1271" s="30">
        <f t="shared" si="36"/>
        <v>41250</v>
      </c>
      <c r="J1271" s="33">
        <f t="shared" si="37"/>
        <v>24.242424242424242</v>
      </c>
    </row>
    <row r="1272" spans="6:10" ht="15">
      <c r="F1272" s="30">
        <v>19</v>
      </c>
      <c r="G1272" s="30">
        <v>51</v>
      </c>
      <c r="H1272" s="30">
        <v>1275</v>
      </c>
      <c r="I1272" s="30">
        <f t="shared" si="36"/>
        <v>42075</v>
      </c>
      <c r="J1272" s="33">
        <f t="shared" si="37"/>
        <v>23.767082590612002</v>
      </c>
    </row>
    <row r="1273" spans="6:10" ht="15">
      <c r="F1273" s="30">
        <v>19</v>
      </c>
      <c r="G1273" s="30">
        <v>52</v>
      </c>
      <c r="H1273" s="30">
        <v>1300</v>
      </c>
      <c r="I1273" s="30">
        <f t="shared" si="36"/>
        <v>42900</v>
      </c>
      <c r="J1273" s="33">
        <f t="shared" si="37"/>
        <v>23.310023310023311</v>
      </c>
    </row>
    <row r="1274" spans="6:10" ht="15">
      <c r="F1274" s="30">
        <v>19</v>
      </c>
      <c r="G1274" s="30">
        <v>53</v>
      </c>
      <c r="H1274" s="30">
        <v>1325</v>
      </c>
      <c r="I1274" s="30">
        <f t="shared" si="36"/>
        <v>43725</v>
      </c>
      <c r="J1274" s="33">
        <f t="shared" si="37"/>
        <v>22.870211549456833</v>
      </c>
    </row>
    <row r="1275" spans="6:10" ht="15">
      <c r="F1275" s="30">
        <v>19</v>
      </c>
      <c r="G1275" s="30">
        <v>54</v>
      </c>
      <c r="H1275" s="30">
        <v>1350</v>
      </c>
      <c r="I1275" s="30">
        <f t="shared" si="36"/>
        <v>44550</v>
      </c>
      <c r="J1275" s="33">
        <f t="shared" si="37"/>
        <v>22.446689113355781</v>
      </c>
    </row>
    <row r="1276" spans="6:10" ht="15">
      <c r="F1276" s="30">
        <v>19</v>
      </c>
      <c r="G1276" s="30">
        <v>55</v>
      </c>
      <c r="H1276" s="30">
        <v>1375</v>
      </c>
      <c r="I1276" s="30">
        <f t="shared" si="36"/>
        <v>45375</v>
      </c>
      <c r="J1276" s="33">
        <f t="shared" si="37"/>
        <v>22.03856749311295</v>
      </c>
    </row>
    <row r="1277" spans="6:10" ht="15">
      <c r="F1277" s="30">
        <v>19</v>
      </c>
      <c r="G1277" s="30">
        <v>56</v>
      </c>
      <c r="H1277" s="30">
        <v>1400</v>
      </c>
      <c r="I1277" s="30">
        <f t="shared" si="36"/>
        <v>46200</v>
      </c>
      <c r="J1277" s="33">
        <f t="shared" si="37"/>
        <v>21.645021645021647</v>
      </c>
    </row>
    <row r="1278" spans="6:10" ht="15">
      <c r="F1278" s="30">
        <v>19</v>
      </c>
      <c r="G1278" s="30">
        <v>57</v>
      </c>
      <c r="H1278" s="30">
        <v>1425</v>
      </c>
      <c r="I1278" s="30">
        <f t="shared" si="36"/>
        <v>47025</v>
      </c>
      <c r="J1278" s="33">
        <f t="shared" si="37"/>
        <v>21.26528442317916</v>
      </c>
    </row>
    <row r="1279" spans="6:10" ht="15">
      <c r="F1279" s="30">
        <v>19</v>
      </c>
      <c r="G1279" s="30">
        <v>58</v>
      </c>
      <c r="H1279" s="30">
        <v>1450</v>
      </c>
      <c r="I1279" s="30">
        <f t="shared" si="36"/>
        <v>47850</v>
      </c>
      <c r="J1279" s="33">
        <f t="shared" si="37"/>
        <v>20.898641588296762</v>
      </c>
    </row>
    <row r="1280" spans="6:10" ht="15">
      <c r="F1280" s="30">
        <v>19</v>
      </c>
      <c r="G1280" s="30">
        <v>59</v>
      </c>
      <c r="H1280" s="30">
        <v>1475</v>
      </c>
      <c r="I1280" s="30">
        <f t="shared" si="36"/>
        <v>48675</v>
      </c>
      <c r="J1280" s="33">
        <f t="shared" si="37"/>
        <v>20.544427324088343</v>
      </c>
    </row>
    <row r="1281" spans="6:10" ht="15">
      <c r="F1281" s="30">
        <v>19</v>
      </c>
      <c r="G1281" s="30">
        <v>60</v>
      </c>
      <c r="H1281" s="30">
        <v>1500</v>
      </c>
      <c r="I1281" s="30">
        <f t="shared" si="36"/>
        <v>49500</v>
      </c>
      <c r="J1281" s="33">
        <f t="shared" si="37"/>
        <v>20.202020202020204</v>
      </c>
    </row>
    <row r="1282" spans="6:10" ht="15">
      <c r="F1282" s="30">
        <v>19</v>
      </c>
      <c r="G1282" s="30">
        <v>61</v>
      </c>
      <c r="H1282" s="30">
        <v>1525</v>
      </c>
      <c r="I1282" s="30">
        <f t="shared" si="36"/>
        <v>50325</v>
      </c>
      <c r="J1282" s="33">
        <f t="shared" si="37"/>
        <v>19.870839542970689</v>
      </c>
    </row>
    <row r="1283" spans="6:10" ht="15">
      <c r="F1283" s="30">
        <v>19</v>
      </c>
      <c r="G1283" s="30">
        <v>62</v>
      </c>
      <c r="H1283" s="30">
        <v>1550</v>
      </c>
      <c r="I1283" s="30">
        <f t="shared" si="36"/>
        <v>51150</v>
      </c>
      <c r="J1283" s="33">
        <f t="shared" si="37"/>
        <v>19.550342130987293</v>
      </c>
    </row>
    <row r="1284" spans="6:10" ht="15">
      <c r="F1284" s="30">
        <v>19</v>
      </c>
      <c r="G1284" s="30">
        <v>63</v>
      </c>
      <c r="H1284" s="30">
        <v>1575</v>
      </c>
      <c r="I1284" s="30">
        <f t="shared" si="36"/>
        <v>51975</v>
      </c>
      <c r="J1284" s="33">
        <f t="shared" si="37"/>
        <v>19.24001924001924</v>
      </c>
    </row>
    <row r="1285" spans="6:10" ht="15">
      <c r="F1285" s="30">
        <v>19</v>
      </c>
      <c r="G1285" s="30">
        <v>64</v>
      </c>
      <c r="H1285" s="30">
        <v>1600</v>
      </c>
      <c r="I1285" s="30">
        <f t="shared" si="36"/>
        <v>52800</v>
      </c>
      <c r="J1285" s="33">
        <f t="shared" si="37"/>
        <v>18.939393939393938</v>
      </c>
    </row>
    <row r="1286" spans="6:10" ht="15">
      <c r="F1286" s="30">
        <v>20</v>
      </c>
      <c r="G1286" s="30">
        <v>1</v>
      </c>
      <c r="H1286" s="30">
        <v>25</v>
      </c>
      <c r="I1286" s="30">
        <f t="shared" si="36"/>
        <v>850</v>
      </c>
      <c r="J1286" s="33">
        <f t="shared" si="37"/>
        <v>1176.4705882352939</v>
      </c>
    </row>
    <row r="1287" spans="6:10" ht="15">
      <c r="F1287" s="30">
        <v>20</v>
      </c>
      <c r="G1287" s="30">
        <v>2</v>
      </c>
      <c r="H1287" s="30">
        <v>50</v>
      </c>
      <c r="I1287" s="30">
        <f t="shared" ref="I1287:I1350" si="38">(14+F1287)*H1287</f>
        <v>1700</v>
      </c>
      <c r="J1287" s="33">
        <f t="shared" ref="J1287:J1350" si="39">(1/I1287)*1000000</f>
        <v>588.23529411764696</v>
      </c>
    </row>
    <row r="1288" spans="6:10" ht="15">
      <c r="F1288" s="30">
        <v>20</v>
      </c>
      <c r="G1288" s="30">
        <v>3</v>
      </c>
      <c r="H1288" s="30">
        <v>75</v>
      </c>
      <c r="I1288" s="30">
        <f t="shared" si="38"/>
        <v>2550</v>
      </c>
      <c r="J1288" s="33">
        <f t="shared" si="39"/>
        <v>392.15686274509801</v>
      </c>
    </row>
    <row r="1289" spans="6:10" ht="15">
      <c r="F1289" s="30">
        <v>20</v>
      </c>
      <c r="G1289" s="30">
        <v>4</v>
      </c>
      <c r="H1289" s="30">
        <v>100</v>
      </c>
      <c r="I1289" s="30">
        <f t="shared" si="38"/>
        <v>3400</v>
      </c>
      <c r="J1289" s="33">
        <f t="shared" si="39"/>
        <v>294.11764705882348</v>
      </c>
    </row>
    <row r="1290" spans="6:10" ht="15">
      <c r="F1290" s="30">
        <v>20</v>
      </c>
      <c r="G1290" s="30">
        <v>5</v>
      </c>
      <c r="H1290" s="30">
        <v>125</v>
      </c>
      <c r="I1290" s="30">
        <f t="shared" si="38"/>
        <v>4250</v>
      </c>
      <c r="J1290" s="33">
        <f t="shared" si="39"/>
        <v>235.29411764705884</v>
      </c>
    </row>
    <row r="1291" spans="6:10" ht="15">
      <c r="F1291" s="30">
        <v>20</v>
      </c>
      <c r="G1291" s="30">
        <v>6</v>
      </c>
      <c r="H1291" s="30">
        <v>150</v>
      </c>
      <c r="I1291" s="30">
        <f t="shared" si="38"/>
        <v>5100</v>
      </c>
      <c r="J1291" s="33">
        <f t="shared" si="39"/>
        <v>196.07843137254901</v>
      </c>
    </row>
    <row r="1292" spans="6:10" ht="15">
      <c r="F1292" s="30">
        <v>20</v>
      </c>
      <c r="G1292" s="30">
        <v>7</v>
      </c>
      <c r="H1292" s="30">
        <v>175</v>
      </c>
      <c r="I1292" s="30">
        <f t="shared" si="38"/>
        <v>5950</v>
      </c>
      <c r="J1292" s="33">
        <f t="shared" si="39"/>
        <v>168.0672268907563</v>
      </c>
    </row>
    <row r="1293" spans="6:10" ht="15">
      <c r="F1293" s="30">
        <v>20</v>
      </c>
      <c r="G1293" s="30">
        <v>8</v>
      </c>
      <c r="H1293" s="30">
        <v>200</v>
      </c>
      <c r="I1293" s="30">
        <f t="shared" si="38"/>
        <v>6800</v>
      </c>
      <c r="J1293" s="33">
        <f t="shared" si="39"/>
        <v>147.05882352941174</v>
      </c>
    </row>
    <row r="1294" spans="6:10" ht="15">
      <c r="F1294" s="30">
        <v>20</v>
      </c>
      <c r="G1294" s="30">
        <v>9</v>
      </c>
      <c r="H1294" s="30">
        <v>225</v>
      </c>
      <c r="I1294" s="30">
        <f t="shared" si="38"/>
        <v>7650</v>
      </c>
      <c r="J1294" s="33">
        <f t="shared" si="39"/>
        <v>130.71895424836603</v>
      </c>
    </row>
    <row r="1295" spans="6:10" ht="15">
      <c r="F1295" s="30">
        <v>20</v>
      </c>
      <c r="G1295" s="30">
        <v>10</v>
      </c>
      <c r="H1295" s="30">
        <v>250</v>
      </c>
      <c r="I1295" s="30">
        <f t="shared" si="38"/>
        <v>8500</v>
      </c>
      <c r="J1295" s="33">
        <f t="shared" si="39"/>
        <v>117.64705882352942</v>
      </c>
    </row>
    <row r="1296" spans="6:10" ht="15">
      <c r="F1296" s="30">
        <v>20</v>
      </c>
      <c r="G1296" s="30">
        <v>11</v>
      </c>
      <c r="H1296" s="30">
        <v>275</v>
      </c>
      <c r="I1296" s="30">
        <f t="shared" si="38"/>
        <v>9350</v>
      </c>
      <c r="J1296" s="33">
        <f t="shared" si="39"/>
        <v>106.95187165775401</v>
      </c>
    </row>
    <row r="1297" spans="6:10" ht="15">
      <c r="F1297" s="30">
        <v>20</v>
      </c>
      <c r="G1297" s="30">
        <v>12</v>
      </c>
      <c r="H1297" s="30">
        <v>300</v>
      </c>
      <c r="I1297" s="30">
        <f t="shared" si="38"/>
        <v>10200</v>
      </c>
      <c r="J1297" s="33">
        <f t="shared" si="39"/>
        <v>98.039215686274503</v>
      </c>
    </row>
    <row r="1298" spans="6:10" ht="15">
      <c r="F1298" s="30">
        <v>20</v>
      </c>
      <c r="G1298" s="30">
        <v>13</v>
      </c>
      <c r="H1298" s="30">
        <v>325</v>
      </c>
      <c r="I1298" s="30">
        <f t="shared" si="38"/>
        <v>11050</v>
      </c>
      <c r="J1298" s="33">
        <f t="shared" si="39"/>
        <v>90.497737556561091</v>
      </c>
    </row>
    <row r="1299" spans="6:10" ht="15">
      <c r="F1299" s="30">
        <v>20</v>
      </c>
      <c r="G1299" s="30">
        <v>14</v>
      </c>
      <c r="H1299" s="30">
        <v>350</v>
      </c>
      <c r="I1299" s="30">
        <f t="shared" si="38"/>
        <v>11900</v>
      </c>
      <c r="J1299" s="33">
        <f t="shared" si="39"/>
        <v>84.033613445378151</v>
      </c>
    </row>
    <row r="1300" spans="6:10" ht="15">
      <c r="F1300" s="30">
        <v>20</v>
      </c>
      <c r="G1300" s="30">
        <v>15</v>
      </c>
      <c r="H1300" s="30">
        <v>375</v>
      </c>
      <c r="I1300" s="30">
        <f t="shared" si="38"/>
        <v>12750</v>
      </c>
      <c r="J1300" s="33">
        <f t="shared" si="39"/>
        <v>78.431372549019613</v>
      </c>
    </row>
    <row r="1301" spans="6:10" ht="15">
      <c r="F1301" s="30">
        <v>20</v>
      </c>
      <c r="G1301" s="30">
        <v>16</v>
      </c>
      <c r="H1301" s="30">
        <v>400</v>
      </c>
      <c r="I1301" s="30">
        <f t="shared" si="38"/>
        <v>13600</v>
      </c>
      <c r="J1301" s="33">
        <f t="shared" si="39"/>
        <v>73.52941176470587</v>
      </c>
    </row>
    <row r="1302" spans="6:10" ht="15">
      <c r="F1302" s="30">
        <v>20</v>
      </c>
      <c r="G1302" s="30">
        <v>17</v>
      </c>
      <c r="H1302" s="30">
        <v>425</v>
      </c>
      <c r="I1302" s="30">
        <f t="shared" si="38"/>
        <v>14450</v>
      </c>
      <c r="J1302" s="33">
        <f t="shared" si="39"/>
        <v>69.20415224913495</v>
      </c>
    </row>
    <row r="1303" spans="6:10" ht="15">
      <c r="F1303" s="30">
        <v>20</v>
      </c>
      <c r="G1303" s="30">
        <v>18</v>
      </c>
      <c r="H1303" s="30">
        <v>450</v>
      </c>
      <c r="I1303" s="30">
        <f t="shared" si="38"/>
        <v>15300</v>
      </c>
      <c r="J1303" s="33">
        <f t="shared" si="39"/>
        <v>65.359477124183016</v>
      </c>
    </row>
    <row r="1304" spans="6:10" ht="15">
      <c r="F1304" s="30">
        <v>20</v>
      </c>
      <c r="G1304" s="30">
        <v>19</v>
      </c>
      <c r="H1304" s="30">
        <v>475</v>
      </c>
      <c r="I1304" s="30">
        <f t="shared" si="38"/>
        <v>16150</v>
      </c>
      <c r="J1304" s="33">
        <f t="shared" si="39"/>
        <v>61.919504643962853</v>
      </c>
    </row>
    <row r="1305" spans="6:10" ht="15">
      <c r="F1305" s="30">
        <v>20</v>
      </c>
      <c r="G1305" s="30">
        <v>20</v>
      </c>
      <c r="H1305" s="30">
        <v>500</v>
      </c>
      <c r="I1305" s="30">
        <f t="shared" si="38"/>
        <v>17000</v>
      </c>
      <c r="J1305" s="33">
        <f t="shared" si="39"/>
        <v>58.82352941176471</v>
      </c>
    </row>
    <row r="1306" spans="6:10" ht="15">
      <c r="F1306" s="30">
        <v>20</v>
      </c>
      <c r="G1306" s="30">
        <v>21</v>
      </c>
      <c r="H1306" s="30">
        <v>525</v>
      </c>
      <c r="I1306" s="30">
        <f t="shared" si="38"/>
        <v>17850</v>
      </c>
      <c r="J1306" s="33">
        <f t="shared" si="39"/>
        <v>56.022408963585434</v>
      </c>
    </row>
    <row r="1307" spans="6:10" ht="15">
      <c r="F1307" s="30">
        <v>20</v>
      </c>
      <c r="G1307" s="30">
        <v>22</v>
      </c>
      <c r="H1307" s="30">
        <v>550</v>
      </c>
      <c r="I1307" s="30">
        <f t="shared" si="38"/>
        <v>18700</v>
      </c>
      <c r="J1307" s="33">
        <f t="shared" si="39"/>
        <v>53.475935828877006</v>
      </c>
    </row>
    <row r="1308" spans="6:10" ht="15">
      <c r="F1308" s="30">
        <v>20</v>
      </c>
      <c r="G1308" s="30">
        <v>23</v>
      </c>
      <c r="H1308" s="30">
        <v>575</v>
      </c>
      <c r="I1308" s="30">
        <f t="shared" si="38"/>
        <v>19550</v>
      </c>
      <c r="J1308" s="33">
        <f t="shared" si="39"/>
        <v>51.150895140664964</v>
      </c>
    </row>
    <row r="1309" spans="6:10" ht="15">
      <c r="F1309" s="30">
        <v>20</v>
      </c>
      <c r="G1309" s="30">
        <v>24</v>
      </c>
      <c r="H1309" s="30">
        <v>600</v>
      </c>
      <c r="I1309" s="30">
        <f t="shared" si="38"/>
        <v>20400</v>
      </c>
      <c r="J1309" s="33">
        <f t="shared" si="39"/>
        <v>49.019607843137251</v>
      </c>
    </row>
    <row r="1310" spans="6:10" ht="15">
      <c r="F1310" s="30">
        <v>20</v>
      </c>
      <c r="G1310" s="30">
        <v>25</v>
      </c>
      <c r="H1310" s="30">
        <v>625</v>
      </c>
      <c r="I1310" s="30">
        <f t="shared" si="38"/>
        <v>21250</v>
      </c>
      <c r="J1310" s="33">
        <f t="shared" si="39"/>
        <v>47.058823529411768</v>
      </c>
    </row>
    <row r="1311" spans="6:10" ht="15">
      <c r="F1311" s="30">
        <v>20</v>
      </c>
      <c r="G1311" s="30">
        <v>26</v>
      </c>
      <c r="H1311" s="30">
        <v>650</v>
      </c>
      <c r="I1311" s="30">
        <f t="shared" si="38"/>
        <v>22100</v>
      </c>
      <c r="J1311" s="33">
        <f t="shared" si="39"/>
        <v>45.248868778280546</v>
      </c>
    </row>
    <row r="1312" spans="6:10" ht="15">
      <c r="F1312" s="30">
        <v>20</v>
      </c>
      <c r="G1312" s="30">
        <v>27</v>
      </c>
      <c r="H1312" s="30">
        <v>675</v>
      </c>
      <c r="I1312" s="30">
        <f t="shared" si="38"/>
        <v>22950</v>
      </c>
      <c r="J1312" s="33">
        <f t="shared" si="39"/>
        <v>43.572984749455337</v>
      </c>
    </row>
    <row r="1313" spans="6:10" ht="15">
      <c r="F1313" s="30">
        <v>20</v>
      </c>
      <c r="G1313" s="30">
        <v>28</v>
      </c>
      <c r="H1313" s="30">
        <v>700</v>
      </c>
      <c r="I1313" s="30">
        <f t="shared" si="38"/>
        <v>23800</v>
      </c>
      <c r="J1313" s="33">
        <f t="shared" si="39"/>
        <v>42.016806722689076</v>
      </c>
    </row>
    <row r="1314" spans="6:10" ht="15">
      <c r="F1314" s="30">
        <v>20</v>
      </c>
      <c r="G1314" s="30">
        <v>29</v>
      </c>
      <c r="H1314" s="30">
        <v>725</v>
      </c>
      <c r="I1314" s="30">
        <f t="shared" si="38"/>
        <v>24650</v>
      </c>
      <c r="J1314" s="33">
        <f t="shared" si="39"/>
        <v>40.567951318458412</v>
      </c>
    </row>
    <row r="1315" spans="6:10" ht="15">
      <c r="F1315" s="30">
        <v>20</v>
      </c>
      <c r="G1315" s="30">
        <v>30</v>
      </c>
      <c r="H1315" s="30">
        <v>750</v>
      </c>
      <c r="I1315" s="30">
        <f t="shared" si="38"/>
        <v>25500</v>
      </c>
      <c r="J1315" s="33">
        <f t="shared" si="39"/>
        <v>39.215686274509807</v>
      </c>
    </row>
    <row r="1316" spans="6:10" ht="15">
      <c r="F1316" s="30">
        <v>20</v>
      </c>
      <c r="G1316" s="30">
        <v>31</v>
      </c>
      <c r="H1316" s="30">
        <v>775</v>
      </c>
      <c r="I1316" s="30">
        <f t="shared" si="38"/>
        <v>26350</v>
      </c>
      <c r="J1316" s="33">
        <f t="shared" si="39"/>
        <v>37.950664136622393</v>
      </c>
    </row>
    <row r="1317" spans="6:10" ht="15">
      <c r="F1317" s="30">
        <v>20</v>
      </c>
      <c r="G1317" s="30">
        <v>32</v>
      </c>
      <c r="H1317" s="30">
        <v>800</v>
      </c>
      <c r="I1317" s="30">
        <f t="shared" si="38"/>
        <v>27200</v>
      </c>
      <c r="J1317" s="33">
        <f t="shared" si="39"/>
        <v>36.764705882352935</v>
      </c>
    </row>
    <row r="1318" spans="6:10" ht="15">
      <c r="F1318" s="30">
        <v>20</v>
      </c>
      <c r="G1318" s="30">
        <v>33</v>
      </c>
      <c r="H1318" s="30">
        <v>825</v>
      </c>
      <c r="I1318" s="30">
        <f t="shared" si="38"/>
        <v>28050</v>
      </c>
      <c r="J1318" s="33">
        <f t="shared" si="39"/>
        <v>35.650623885918002</v>
      </c>
    </row>
    <row r="1319" spans="6:10" ht="15">
      <c r="F1319" s="30">
        <v>20</v>
      </c>
      <c r="G1319" s="30">
        <v>34</v>
      </c>
      <c r="H1319" s="30">
        <v>850</v>
      </c>
      <c r="I1319" s="30">
        <f t="shared" si="38"/>
        <v>28900</v>
      </c>
      <c r="J1319" s="33">
        <f t="shared" si="39"/>
        <v>34.602076124567475</v>
      </c>
    </row>
    <row r="1320" spans="6:10" ht="15">
      <c r="F1320" s="30">
        <v>20</v>
      </c>
      <c r="G1320" s="30">
        <v>35</v>
      </c>
      <c r="H1320" s="30">
        <v>875</v>
      </c>
      <c r="I1320" s="30">
        <f t="shared" si="38"/>
        <v>29750</v>
      </c>
      <c r="J1320" s="33">
        <f t="shared" si="39"/>
        <v>33.613445378151262</v>
      </c>
    </row>
    <row r="1321" spans="6:10" ht="15">
      <c r="F1321" s="30">
        <v>20</v>
      </c>
      <c r="G1321" s="30">
        <v>36</v>
      </c>
      <c r="H1321" s="30">
        <v>900</v>
      </c>
      <c r="I1321" s="30">
        <f t="shared" si="38"/>
        <v>30600</v>
      </c>
      <c r="J1321" s="33">
        <f t="shared" si="39"/>
        <v>32.679738562091508</v>
      </c>
    </row>
    <row r="1322" spans="6:10" ht="15">
      <c r="F1322" s="30">
        <v>20</v>
      </c>
      <c r="G1322" s="30">
        <v>37</v>
      </c>
      <c r="H1322" s="30">
        <v>925</v>
      </c>
      <c r="I1322" s="30">
        <f t="shared" si="38"/>
        <v>31450</v>
      </c>
      <c r="J1322" s="33">
        <f t="shared" si="39"/>
        <v>31.796502384737678</v>
      </c>
    </row>
    <row r="1323" spans="6:10" ht="15">
      <c r="F1323" s="30">
        <v>20</v>
      </c>
      <c r="G1323" s="30">
        <v>38</v>
      </c>
      <c r="H1323" s="30">
        <v>950</v>
      </c>
      <c r="I1323" s="30">
        <f t="shared" si="38"/>
        <v>32300</v>
      </c>
      <c r="J1323" s="33">
        <f t="shared" si="39"/>
        <v>30.959752321981426</v>
      </c>
    </row>
    <row r="1324" spans="6:10" ht="15">
      <c r="F1324" s="30">
        <v>20</v>
      </c>
      <c r="G1324" s="30">
        <v>39</v>
      </c>
      <c r="H1324" s="30">
        <v>975</v>
      </c>
      <c r="I1324" s="30">
        <f t="shared" si="38"/>
        <v>33150</v>
      </c>
      <c r="J1324" s="33">
        <f t="shared" si="39"/>
        <v>30.165912518853695</v>
      </c>
    </row>
    <row r="1325" spans="6:10" ht="15">
      <c r="F1325" s="30">
        <v>20</v>
      </c>
      <c r="G1325" s="30">
        <v>40</v>
      </c>
      <c r="H1325" s="30">
        <v>1000</v>
      </c>
      <c r="I1325" s="30">
        <f t="shared" si="38"/>
        <v>34000</v>
      </c>
      <c r="J1325" s="33">
        <f t="shared" si="39"/>
        <v>29.411764705882355</v>
      </c>
    </row>
    <row r="1326" spans="6:10" ht="15">
      <c r="F1326" s="30">
        <v>20</v>
      </c>
      <c r="G1326" s="30">
        <v>41</v>
      </c>
      <c r="H1326" s="30">
        <v>1025</v>
      </c>
      <c r="I1326" s="30">
        <f t="shared" si="38"/>
        <v>34850</v>
      </c>
      <c r="J1326" s="33">
        <f t="shared" si="39"/>
        <v>28.694404591104735</v>
      </c>
    </row>
    <row r="1327" spans="6:10" ht="15">
      <c r="F1327" s="30">
        <v>20</v>
      </c>
      <c r="G1327" s="30">
        <v>42</v>
      </c>
      <c r="H1327" s="30">
        <v>1050</v>
      </c>
      <c r="I1327" s="30">
        <f t="shared" si="38"/>
        <v>35700</v>
      </c>
      <c r="J1327" s="33">
        <f t="shared" si="39"/>
        <v>28.011204481792717</v>
      </c>
    </row>
    <row r="1328" spans="6:10" ht="15">
      <c r="F1328" s="30">
        <v>20</v>
      </c>
      <c r="G1328" s="30">
        <v>43</v>
      </c>
      <c r="H1328" s="30">
        <v>1075</v>
      </c>
      <c r="I1328" s="30">
        <f t="shared" si="38"/>
        <v>36550</v>
      </c>
      <c r="J1328" s="33">
        <f t="shared" si="39"/>
        <v>27.359781121751023</v>
      </c>
    </row>
    <row r="1329" spans="6:10" ht="15">
      <c r="F1329" s="30">
        <v>20</v>
      </c>
      <c r="G1329" s="30">
        <v>44</v>
      </c>
      <c r="H1329" s="30">
        <v>1100</v>
      </c>
      <c r="I1329" s="30">
        <f t="shared" si="38"/>
        <v>37400</v>
      </c>
      <c r="J1329" s="33">
        <f t="shared" si="39"/>
        <v>26.737967914438503</v>
      </c>
    </row>
    <row r="1330" spans="6:10" ht="15">
      <c r="F1330" s="30">
        <v>20</v>
      </c>
      <c r="G1330" s="30">
        <v>45</v>
      </c>
      <c r="H1330" s="30">
        <v>1125</v>
      </c>
      <c r="I1330" s="30">
        <f t="shared" si="38"/>
        <v>38250</v>
      </c>
      <c r="J1330" s="33">
        <f t="shared" si="39"/>
        <v>26.143790849673202</v>
      </c>
    </row>
    <row r="1331" spans="6:10" ht="15">
      <c r="F1331" s="30">
        <v>20</v>
      </c>
      <c r="G1331" s="30">
        <v>46</v>
      </c>
      <c r="H1331" s="30">
        <v>1150</v>
      </c>
      <c r="I1331" s="30">
        <f t="shared" si="38"/>
        <v>39100</v>
      </c>
      <c r="J1331" s="33">
        <f t="shared" si="39"/>
        <v>25.575447570332482</v>
      </c>
    </row>
    <row r="1332" spans="6:10" ht="15">
      <c r="F1332" s="30">
        <v>20</v>
      </c>
      <c r="G1332" s="30">
        <v>47</v>
      </c>
      <c r="H1332" s="30">
        <v>1175</v>
      </c>
      <c r="I1332" s="30">
        <f t="shared" si="38"/>
        <v>39950</v>
      </c>
      <c r="J1332" s="33">
        <f t="shared" si="39"/>
        <v>25.031289111389235</v>
      </c>
    </row>
    <row r="1333" spans="6:10" ht="15">
      <c r="F1333" s="30">
        <v>20</v>
      </c>
      <c r="G1333" s="30">
        <v>48</v>
      </c>
      <c r="H1333" s="30">
        <v>1200</v>
      </c>
      <c r="I1333" s="30">
        <f t="shared" si="38"/>
        <v>40800</v>
      </c>
      <c r="J1333" s="33">
        <f t="shared" si="39"/>
        <v>24.509803921568626</v>
      </c>
    </row>
    <row r="1334" spans="6:10" ht="15">
      <c r="F1334" s="30">
        <v>20</v>
      </c>
      <c r="G1334" s="30">
        <v>49</v>
      </c>
      <c r="H1334" s="30">
        <v>1225</v>
      </c>
      <c r="I1334" s="30">
        <f t="shared" si="38"/>
        <v>41650</v>
      </c>
      <c r="J1334" s="33">
        <f t="shared" si="39"/>
        <v>24.009603841536613</v>
      </c>
    </row>
    <row r="1335" spans="6:10" ht="15">
      <c r="F1335" s="30">
        <v>20</v>
      </c>
      <c r="G1335" s="30">
        <v>50</v>
      </c>
      <c r="H1335" s="30">
        <v>1250</v>
      </c>
      <c r="I1335" s="30">
        <f t="shared" si="38"/>
        <v>42500</v>
      </c>
      <c r="J1335" s="33">
        <f t="shared" si="39"/>
        <v>23.529411764705884</v>
      </c>
    </row>
    <row r="1336" spans="6:10" ht="15">
      <c r="F1336" s="30">
        <v>20</v>
      </c>
      <c r="G1336" s="30">
        <v>51</v>
      </c>
      <c r="H1336" s="30">
        <v>1275</v>
      </c>
      <c r="I1336" s="30">
        <f t="shared" si="38"/>
        <v>43350</v>
      </c>
      <c r="J1336" s="33">
        <f t="shared" si="39"/>
        <v>23.068050749711649</v>
      </c>
    </row>
    <row r="1337" spans="6:10" ht="15">
      <c r="F1337" s="30">
        <v>20</v>
      </c>
      <c r="G1337" s="30">
        <v>52</v>
      </c>
      <c r="H1337" s="30">
        <v>1300</v>
      </c>
      <c r="I1337" s="30">
        <f t="shared" si="38"/>
        <v>44200</v>
      </c>
      <c r="J1337" s="33">
        <f t="shared" si="39"/>
        <v>22.624434389140273</v>
      </c>
    </row>
    <row r="1338" spans="6:10" ht="15">
      <c r="F1338" s="30">
        <v>20</v>
      </c>
      <c r="G1338" s="30">
        <v>53</v>
      </c>
      <c r="H1338" s="30">
        <v>1325</v>
      </c>
      <c r="I1338" s="30">
        <f t="shared" si="38"/>
        <v>45050</v>
      </c>
      <c r="J1338" s="33">
        <f t="shared" si="39"/>
        <v>22.197558268590456</v>
      </c>
    </row>
    <row r="1339" spans="6:10" ht="15">
      <c r="F1339" s="30">
        <v>20</v>
      </c>
      <c r="G1339" s="30">
        <v>54</v>
      </c>
      <c r="H1339" s="30">
        <v>1350</v>
      </c>
      <c r="I1339" s="30">
        <f t="shared" si="38"/>
        <v>45900</v>
      </c>
      <c r="J1339" s="33">
        <f t="shared" si="39"/>
        <v>21.786492374727668</v>
      </c>
    </row>
    <row r="1340" spans="6:10" ht="15">
      <c r="F1340" s="30">
        <v>20</v>
      </c>
      <c r="G1340" s="30">
        <v>55</v>
      </c>
      <c r="H1340" s="30">
        <v>1375</v>
      </c>
      <c r="I1340" s="30">
        <f t="shared" si="38"/>
        <v>46750</v>
      </c>
      <c r="J1340" s="33">
        <f t="shared" si="39"/>
        <v>21.390374331550802</v>
      </c>
    </row>
    <row r="1341" spans="6:10" ht="15">
      <c r="F1341" s="30">
        <v>20</v>
      </c>
      <c r="G1341" s="30">
        <v>56</v>
      </c>
      <c r="H1341" s="30">
        <v>1400</v>
      </c>
      <c r="I1341" s="30">
        <f t="shared" si="38"/>
        <v>47600</v>
      </c>
      <c r="J1341" s="33">
        <f t="shared" si="39"/>
        <v>21.008403361344538</v>
      </c>
    </row>
    <row r="1342" spans="6:10" ht="15">
      <c r="F1342" s="30">
        <v>20</v>
      </c>
      <c r="G1342" s="30">
        <v>57</v>
      </c>
      <c r="H1342" s="30">
        <v>1425</v>
      </c>
      <c r="I1342" s="30">
        <f t="shared" si="38"/>
        <v>48450</v>
      </c>
      <c r="J1342" s="33">
        <f t="shared" si="39"/>
        <v>20.639834881320951</v>
      </c>
    </row>
    <row r="1343" spans="6:10" ht="15">
      <c r="F1343" s="30">
        <v>20</v>
      </c>
      <c r="G1343" s="30">
        <v>58</v>
      </c>
      <c r="H1343" s="30">
        <v>1450</v>
      </c>
      <c r="I1343" s="30">
        <f t="shared" si="38"/>
        <v>49300</v>
      </c>
      <c r="J1343" s="33">
        <f t="shared" si="39"/>
        <v>20.283975659229206</v>
      </c>
    </row>
    <row r="1344" spans="6:10" ht="15">
      <c r="F1344" s="30">
        <v>20</v>
      </c>
      <c r="G1344" s="30">
        <v>59</v>
      </c>
      <c r="H1344" s="30">
        <v>1475</v>
      </c>
      <c r="I1344" s="30">
        <f t="shared" si="38"/>
        <v>50150</v>
      </c>
      <c r="J1344" s="33">
        <f t="shared" si="39"/>
        <v>19.940179461615152</v>
      </c>
    </row>
    <row r="1345" spans="6:10" ht="15">
      <c r="F1345" s="30">
        <v>20</v>
      </c>
      <c r="G1345" s="30">
        <v>60</v>
      </c>
      <c r="H1345" s="30">
        <v>1500</v>
      </c>
      <c r="I1345" s="30">
        <f t="shared" si="38"/>
        <v>51000</v>
      </c>
      <c r="J1345" s="33">
        <f t="shared" si="39"/>
        <v>19.607843137254903</v>
      </c>
    </row>
    <row r="1346" spans="6:10" ht="15">
      <c r="F1346" s="30">
        <v>20</v>
      </c>
      <c r="G1346" s="30">
        <v>61</v>
      </c>
      <c r="H1346" s="30">
        <v>1525</v>
      </c>
      <c r="I1346" s="30">
        <f t="shared" si="38"/>
        <v>51850</v>
      </c>
      <c r="J1346" s="33">
        <f t="shared" si="39"/>
        <v>19.286403085824492</v>
      </c>
    </row>
    <row r="1347" spans="6:10" ht="15">
      <c r="F1347" s="30">
        <v>20</v>
      </c>
      <c r="G1347" s="30">
        <v>62</v>
      </c>
      <c r="H1347" s="30">
        <v>1550</v>
      </c>
      <c r="I1347" s="30">
        <f t="shared" si="38"/>
        <v>52700</v>
      </c>
      <c r="J1347" s="33">
        <f t="shared" si="39"/>
        <v>18.975332068311197</v>
      </c>
    </row>
    <row r="1348" spans="6:10" ht="15">
      <c r="F1348" s="30">
        <v>20</v>
      </c>
      <c r="G1348" s="30">
        <v>63</v>
      </c>
      <c r="H1348" s="30">
        <v>1575</v>
      </c>
      <c r="I1348" s="30">
        <f t="shared" si="38"/>
        <v>53550</v>
      </c>
      <c r="J1348" s="33">
        <f t="shared" si="39"/>
        <v>18.674136321195146</v>
      </c>
    </row>
    <row r="1349" spans="6:10" ht="15">
      <c r="F1349" s="30">
        <v>20</v>
      </c>
      <c r="G1349" s="30">
        <v>64</v>
      </c>
      <c r="H1349" s="30">
        <v>1600</v>
      </c>
      <c r="I1349" s="30">
        <f t="shared" si="38"/>
        <v>54400</v>
      </c>
      <c r="J1349" s="33">
        <f t="shared" si="39"/>
        <v>18.382352941176467</v>
      </c>
    </row>
    <row r="1350" spans="6:10" ht="15">
      <c r="F1350" s="30">
        <v>21</v>
      </c>
      <c r="G1350" s="30">
        <v>1</v>
      </c>
      <c r="H1350" s="30">
        <v>25</v>
      </c>
      <c r="I1350" s="30">
        <f t="shared" si="38"/>
        <v>875</v>
      </c>
      <c r="J1350" s="33">
        <f t="shared" si="39"/>
        <v>1142.8571428571429</v>
      </c>
    </row>
    <row r="1351" spans="6:10" ht="15">
      <c r="F1351" s="30">
        <v>21</v>
      </c>
      <c r="G1351" s="30">
        <v>2</v>
      </c>
      <c r="H1351" s="30">
        <v>50</v>
      </c>
      <c r="I1351" s="30">
        <f t="shared" ref="I1351:I1414" si="40">(14+F1351)*H1351</f>
        <v>1750</v>
      </c>
      <c r="J1351" s="33">
        <f t="shared" ref="J1351:J1414" si="41">(1/I1351)*1000000</f>
        <v>571.42857142857144</v>
      </c>
    </row>
    <row r="1352" spans="6:10" ht="15">
      <c r="F1352" s="30">
        <v>21</v>
      </c>
      <c r="G1352" s="30">
        <v>3</v>
      </c>
      <c r="H1352" s="30">
        <v>75</v>
      </c>
      <c r="I1352" s="30">
        <f t="shared" si="40"/>
        <v>2625</v>
      </c>
      <c r="J1352" s="33">
        <f t="shared" si="41"/>
        <v>380.95238095238096</v>
      </c>
    </row>
    <row r="1353" spans="6:10" ht="15">
      <c r="F1353" s="30">
        <v>21</v>
      </c>
      <c r="G1353" s="30">
        <v>4</v>
      </c>
      <c r="H1353" s="30">
        <v>100</v>
      </c>
      <c r="I1353" s="30">
        <f t="shared" si="40"/>
        <v>3500</v>
      </c>
      <c r="J1353" s="33">
        <f t="shared" si="41"/>
        <v>285.71428571428572</v>
      </c>
    </row>
    <row r="1354" spans="6:10" ht="15">
      <c r="F1354" s="30">
        <v>21</v>
      </c>
      <c r="G1354" s="30">
        <v>5</v>
      </c>
      <c r="H1354" s="30">
        <v>125</v>
      </c>
      <c r="I1354" s="30">
        <f t="shared" si="40"/>
        <v>4375</v>
      </c>
      <c r="J1354" s="33">
        <f t="shared" si="41"/>
        <v>228.57142857142856</v>
      </c>
    </row>
    <row r="1355" spans="6:10" ht="15">
      <c r="F1355" s="30">
        <v>21</v>
      </c>
      <c r="G1355" s="30">
        <v>6</v>
      </c>
      <c r="H1355" s="30">
        <v>150</v>
      </c>
      <c r="I1355" s="30">
        <f t="shared" si="40"/>
        <v>5250</v>
      </c>
      <c r="J1355" s="33">
        <f t="shared" si="41"/>
        <v>190.47619047619048</v>
      </c>
    </row>
    <row r="1356" spans="6:10" ht="15">
      <c r="F1356" s="30">
        <v>21</v>
      </c>
      <c r="G1356" s="30">
        <v>7</v>
      </c>
      <c r="H1356" s="30">
        <v>175</v>
      </c>
      <c r="I1356" s="30">
        <f t="shared" si="40"/>
        <v>6125</v>
      </c>
      <c r="J1356" s="33">
        <f t="shared" si="41"/>
        <v>163.26530612244898</v>
      </c>
    </row>
    <row r="1357" spans="6:10" ht="15">
      <c r="F1357" s="30">
        <v>21</v>
      </c>
      <c r="G1357" s="30">
        <v>8</v>
      </c>
      <c r="H1357" s="30">
        <v>200</v>
      </c>
      <c r="I1357" s="30">
        <f t="shared" si="40"/>
        <v>7000</v>
      </c>
      <c r="J1357" s="33">
        <f t="shared" si="41"/>
        <v>142.85714285714286</v>
      </c>
    </row>
    <row r="1358" spans="6:10" ht="15">
      <c r="F1358" s="30">
        <v>21</v>
      </c>
      <c r="G1358" s="30">
        <v>9</v>
      </c>
      <c r="H1358" s="30">
        <v>225</v>
      </c>
      <c r="I1358" s="30">
        <f t="shared" si="40"/>
        <v>7875</v>
      </c>
      <c r="J1358" s="33">
        <f t="shared" si="41"/>
        <v>126.98412698412697</v>
      </c>
    </row>
    <row r="1359" spans="6:10" ht="15">
      <c r="F1359" s="30">
        <v>21</v>
      </c>
      <c r="G1359" s="30">
        <v>10</v>
      </c>
      <c r="H1359" s="30">
        <v>250</v>
      </c>
      <c r="I1359" s="30">
        <f t="shared" si="40"/>
        <v>8750</v>
      </c>
      <c r="J1359" s="33">
        <f t="shared" si="41"/>
        <v>114.28571428571428</v>
      </c>
    </row>
    <row r="1360" spans="6:10" ht="15">
      <c r="F1360" s="30">
        <v>21</v>
      </c>
      <c r="G1360" s="30">
        <v>11</v>
      </c>
      <c r="H1360" s="30">
        <v>275</v>
      </c>
      <c r="I1360" s="30">
        <f t="shared" si="40"/>
        <v>9625</v>
      </c>
      <c r="J1360" s="33">
        <f t="shared" si="41"/>
        <v>103.8961038961039</v>
      </c>
    </row>
    <row r="1361" spans="6:10" ht="15">
      <c r="F1361" s="30">
        <v>21</v>
      </c>
      <c r="G1361" s="30">
        <v>12</v>
      </c>
      <c r="H1361" s="30">
        <v>300</v>
      </c>
      <c r="I1361" s="30">
        <f t="shared" si="40"/>
        <v>10500</v>
      </c>
      <c r="J1361" s="33">
        <f t="shared" si="41"/>
        <v>95.238095238095241</v>
      </c>
    </row>
    <row r="1362" spans="6:10" ht="15">
      <c r="F1362" s="30">
        <v>21</v>
      </c>
      <c r="G1362" s="30">
        <v>13</v>
      </c>
      <c r="H1362" s="30">
        <v>325</v>
      </c>
      <c r="I1362" s="30">
        <f t="shared" si="40"/>
        <v>11375</v>
      </c>
      <c r="J1362" s="33">
        <f t="shared" si="41"/>
        <v>87.912087912087912</v>
      </c>
    </row>
    <row r="1363" spans="6:10" ht="15">
      <c r="F1363" s="30">
        <v>21</v>
      </c>
      <c r="G1363" s="30">
        <v>14</v>
      </c>
      <c r="H1363" s="30">
        <v>350</v>
      </c>
      <c r="I1363" s="30">
        <f t="shared" si="40"/>
        <v>12250</v>
      </c>
      <c r="J1363" s="33">
        <f t="shared" si="41"/>
        <v>81.632653061224488</v>
      </c>
    </row>
    <row r="1364" spans="6:10" ht="15">
      <c r="F1364" s="30">
        <v>21</v>
      </c>
      <c r="G1364" s="30">
        <v>15</v>
      </c>
      <c r="H1364" s="30">
        <v>375</v>
      </c>
      <c r="I1364" s="30">
        <f t="shared" si="40"/>
        <v>13125</v>
      </c>
      <c r="J1364" s="33">
        <f t="shared" si="41"/>
        <v>76.19047619047619</v>
      </c>
    </row>
    <row r="1365" spans="6:10" ht="15">
      <c r="F1365" s="30">
        <v>21</v>
      </c>
      <c r="G1365" s="30">
        <v>16</v>
      </c>
      <c r="H1365" s="30">
        <v>400</v>
      </c>
      <c r="I1365" s="30">
        <f t="shared" si="40"/>
        <v>14000</v>
      </c>
      <c r="J1365" s="33">
        <f t="shared" si="41"/>
        <v>71.428571428571431</v>
      </c>
    </row>
    <row r="1366" spans="6:10" ht="15">
      <c r="F1366" s="30">
        <v>21</v>
      </c>
      <c r="G1366" s="30">
        <v>17</v>
      </c>
      <c r="H1366" s="30">
        <v>425</v>
      </c>
      <c r="I1366" s="30">
        <f t="shared" si="40"/>
        <v>14875</v>
      </c>
      <c r="J1366" s="33">
        <f t="shared" si="41"/>
        <v>67.226890756302524</v>
      </c>
    </row>
    <row r="1367" spans="6:10" ht="15">
      <c r="F1367" s="30">
        <v>21</v>
      </c>
      <c r="G1367" s="30">
        <v>18</v>
      </c>
      <c r="H1367" s="30">
        <v>450</v>
      </c>
      <c r="I1367" s="30">
        <f t="shared" si="40"/>
        <v>15750</v>
      </c>
      <c r="J1367" s="33">
        <f t="shared" si="41"/>
        <v>63.492063492063487</v>
      </c>
    </row>
    <row r="1368" spans="6:10" ht="15">
      <c r="F1368" s="30">
        <v>21</v>
      </c>
      <c r="G1368" s="30">
        <v>19</v>
      </c>
      <c r="H1368" s="30">
        <v>475</v>
      </c>
      <c r="I1368" s="30">
        <f t="shared" si="40"/>
        <v>16625</v>
      </c>
      <c r="J1368" s="33">
        <f t="shared" si="41"/>
        <v>60.150375939849624</v>
      </c>
    </row>
    <row r="1369" spans="6:10" ht="15">
      <c r="F1369" s="30">
        <v>21</v>
      </c>
      <c r="G1369" s="30">
        <v>20</v>
      </c>
      <c r="H1369" s="30">
        <v>500</v>
      </c>
      <c r="I1369" s="30">
        <f t="shared" si="40"/>
        <v>17500</v>
      </c>
      <c r="J1369" s="33">
        <f t="shared" si="41"/>
        <v>57.142857142857139</v>
      </c>
    </row>
    <row r="1370" spans="6:10" ht="15">
      <c r="F1370" s="30">
        <v>21</v>
      </c>
      <c r="G1370" s="30">
        <v>21</v>
      </c>
      <c r="H1370" s="30">
        <v>525</v>
      </c>
      <c r="I1370" s="30">
        <f t="shared" si="40"/>
        <v>18375</v>
      </c>
      <c r="J1370" s="33">
        <f t="shared" si="41"/>
        <v>54.421768707482997</v>
      </c>
    </row>
    <row r="1371" spans="6:10" ht="15">
      <c r="F1371" s="30">
        <v>21</v>
      </c>
      <c r="G1371" s="30">
        <v>22</v>
      </c>
      <c r="H1371" s="30">
        <v>550</v>
      </c>
      <c r="I1371" s="30">
        <f t="shared" si="40"/>
        <v>19250</v>
      </c>
      <c r="J1371" s="33">
        <f t="shared" si="41"/>
        <v>51.948051948051948</v>
      </c>
    </row>
    <row r="1372" spans="6:10" ht="15">
      <c r="F1372" s="30">
        <v>21</v>
      </c>
      <c r="G1372" s="30">
        <v>23</v>
      </c>
      <c r="H1372" s="30">
        <v>575</v>
      </c>
      <c r="I1372" s="30">
        <f t="shared" si="40"/>
        <v>20125</v>
      </c>
      <c r="J1372" s="33">
        <f t="shared" si="41"/>
        <v>49.689440993788821</v>
      </c>
    </row>
    <row r="1373" spans="6:10" ht="15">
      <c r="F1373" s="30">
        <v>21</v>
      </c>
      <c r="G1373" s="30">
        <v>24</v>
      </c>
      <c r="H1373" s="30">
        <v>600</v>
      </c>
      <c r="I1373" s="30">
        <f t="shared" si="40"/>
        <v>21000</v>
      </c>
      <c r="J1373" s="33">
        <f t="shared" si="41"/>
        <v>47.61904761904762</v>
      </c>
    </row>
    <row r="1374" spans="6:10" ht="15">
      <c r="F1374" s="30">
        <v>21</v>
      </c>
      <c r="G1374" s="30">
        <v>25</v>
      </c>
      <c r="H1374" s="30">
        <v>625</v>
      </c>
      <c r="I1374" s="30">
        <f t="shared" si="40"/>
        <v>21875</v>
      </c>
      <c r="J1374" s="33">
        <f t="shared" si="41"/>
        <v>45.714285714285715</v>
      </c>
    </row>
    <row r="1375" spans="6:10" ht="15">
      <c r="F1375" s="30">
        <v>21</v>
      </c>
      <c r="G1375" s="30">
        <v>26</v>
      </c>
      <c r="H1375" s="30">
        <v>650</v>
      </c>
      <c r="I1375" s="30">
        <f t="shared" si="40"/>
        <v>22750</v>
      </c>
      <c r="J1375" s="33">
        <f t="shared" si="41"/>
        <v>43.956043956043956</v>
      </c>
    </row>
    <row r="1376" spans="6:10" ht="15">
      <c r="F1376" s="30">
        <v>21</v>
      </c>
      <c r="G1376" s="30">
        <v>27</v>
      </c>
      <c r="H1376" s="30">
        <v>675</v>
      </c>
      <c r="I1376" s="30">
        <f t="shared" si="40"/>
        <v>23625</v>
      </c>
      <c r="J1376" s="33">
        <f t="shared" si="41"/>
        <v>42.328042328042329</v>
      </c>
    </row>
    <row r="1377" spans="6:10" ht="15">
      <c r="F1377" s="30">
        <v>21</v>
      </c>
      <c r="G1377" s="30">
        <v>28</v>
      </c>
      <c r="H1377" s="30">
        <v>700</v>
      </c>
      <c r="I1377" s="30">
        <f t="shared" si="40"/>
        <v>24500</v>
      </c>
      <c r="J1377" s="33">
        <f t="shared" si="41"/>
        <v>40.816326530612244</v>
      </c>
    </row>
    <row r="1378" spans="6:10" ht="15">
      <c r="F1378" s="30">
        <v>21</v>
      </c>
      <c r="G1378" s="30">
        <v>29</v>
      </c>
      <c r="H1378" s="30">
        <v>725</v>
      </c>
      <c r="I1378" s="30">
        <f t="shared" si="40"/>
        <v>25375</v>
      </c>
      <c r="J1378" s="33">
        <f t="shared" si="41"/>
        <v>39.408866995073893</v>
      </c>
    </row>
    <row r="1379" spans="6:10" ht="15">
      <c r="F1379" s="30">
        <v>21</v>
      </c>
      <c r="G1379" s="30">
        <v>30</v>
      </c>
      <c r="H1379" s="30">
        <v>750</v>
      </c>
      <c r="I1379" s="30">
        <f t="shared" si="40"/>
        <v>26250</v>
      </c>
      <c r="J1379" s="33">
        <f t="shared" si="41"/>
        <v>38.095238095238095</v>
      </c>
    </row>
    <row r="1380" spans="6:10" ht="15">
      <c r="F1380" s="30">
        <v>21</v>
      </c>
      <c r="G1380" s="30">
        <v>31</v>
      </c>
      <c r="H1380" s="30">
        <v>775</v>
      </c>
      <c r="I1380" s="30">
        <f t="shared" si="40"/>
        <v>27125</v>
      </c>
      <c r="J1380" s="33">
        <f t="shared" si="41"/>
        <v>36.866359447004605</v>
      </c>
    </row>
    <row r="1381" spans="6:10" ht="15">
      <c r="F1381" s="30">
        <v>21</v>
      </c>
      <c r="G1381" s="30">
        <v>32</v>
      </c>
      <c r="H1381" s="30">
        <v>800</v>
      </c>
      <c r="I1381" s="30">
        <f t="shared" si="40"/>
        <v>28000</v>
      </c>
      <c r="J1381" s="33">
        <f t="shared" si="41"/>
        <v>35.714285714285715</v>
      </c>
    </row>
    <row r="1382" spans="6:10" ht="15">
      <c r="F1382" s="30">
        <v>21</v>
      </c>
      <c r="G1382" s="30">
        <v>33</v>
      </c>
      <c r="H1382" s="30">
        <v>825</v>
      </c>
      <c r="I1382" s="30">
        <f t="shared" si="40"/>
        <v>28875</v>
      </c>
      <c r="J1382" s="33">
        <f t="shared" si="41"/>
        <v>34.632034632034632</v>
      </c>
    </row>
    <row r="1383" spans="6:10" ht="15">
      <c r="F1383" s="30">
        <v>21</v>
      </c>
      <c r="G1383" s="30">
        <v>34</v>
      </c>
      <c r="H1383" s="30">
        <v>850</v>
      </c>
      <c r="I1383" s="30">
        <f t="shared" si="40"/>
        <v>29750</v>
      </c>
      <c r="J1383" s="33">
        <f t="shared" si="41"/>
        <v>33.613445378151262</v>
      </c>
    </row>
    <row r="1384" spans="6:10" ht="15">
      <c r="F1384" s="30">
        <v>21</v>
      </c>
      <c r="G1384" s="30">
        <v>35</v>
      </c>
      <c r="H1384" s="30">
        <v>875</v>
      </c>
      <c r="I1384" s="30">
        <f t="shared" si="40"/>
        <v>30625</v>
      </c>
      <c r="J1384" s="33">
        <f t="shared" si="41"/>
        <v>32.653061224489797</v>
      </c>
    </row>
    <row r="1385" spans="6:10" ht="15">
      <c r="F1385" s="30">
        <v>21</v>
      </c>
      <c r="G1385" s="30">
        <v>36</v>
      </c>
      <c r="H1385" s="30">
        <v>900</v>
      </c>
      <c r="I1385" s="30">
        <f t="shared" si="40"/>
        <v>31500</v>
      </c>
      <c r="J1385" s="33">
        <f t="shared" si="41"/>
        <v>31.746031746031743</v>
      </c>
    </row>
    <row r="1386" spans="6:10" ht="15">
      <c r="F1386" s="30">
        <v>21</v>
      </c>
      <c r="G1386" s="30">
        <v>37</v>
      </c>
      <c r="H1386" s="30">
        <v>925</v>
      </c>
      <c r="I1386" s="30">
        <f t="shared" si="40"/>
        <v>32375</v>
      </c>
      <c r="J1386" s="33">
        <f t="shared" si="41"/>
        <v>30.88803088803089</v>
      </c>
    </row>
    <row r="1387" spans="6:10" ht="15">
      <c r="F1387" s="30">
        <v>21</v>
      </c>
      <c r="G1387" s="30">
        <v>38</v>
      </c>
      <c r="H1387" s="30">
        <v>950</v>
      </c>
      <c r="I1387" s="30">
        <f t="shared" si="40"/>
        <v>33250</v>
      </c>
      <c r="J1387" s="33">
        <f t="shared" si="41"/>
        <v>30.075187969924812</v>
      </c>
    </row>
    <row r="1388" spans="6:10" ht="15">
      <c r="F1388" s="30">
        <v>21</v>
      </c>
      <c r="G1388" s="30">
        <v>39</v>
      </c>
      <c r="H1388" s="30">
        <v>975</v>
      </c>
      <c r="I1388" s="30">
        <f t="shared" si="40"/>
        <v>34125</v>
      </c>
      <c r="J1388" s="33">
        <f t="shared" si="41"/>
        <v>29.304029304029307</v>
      </c>
    </row>
    <row r="1389" spans="6:10" ht="15">
      <c r="F1389" s="30">
        <v>21</v>
      </c>
      <c r="G1389" s="30">
        <v>40</v>
      </c>
      <c r="H1389" s="30">
        <v>1000</v>
      </c>
      <c r="I1389" s="30">
        <f t="shared" si="40"/>
        <v>35000</v>
      </c>
      <c r="J1389" s="33">
        <f t="shared" si="41"/>
        <v>28.571428571428569</v>
      </c>
    </row>
    <row r="1390" spans="6:10" ht="15">
      <c r="F1390" s="30">
        <v>21</v>
      </c>
      <c r="G1390" s="30">
        <v>41</v>
      </c>
      <c r="H1390" s="30">
        <v>1025</v>
      </c>
      <c r="I1390" s="30">
        <f t="shared" si="40"/>
        <v>35875</v>
      </c>
      <c r="J1390" s="33">
        <f t="shared" si="41"/>
        <v>27.874564459930312</v>
      </c>
    </row>
    <row r="1391" spans="6:10" ht="15">
      <c r="F1391" s="30">
        <v>21</v>
      </c>
      <c r="G1391" s="30">
        <v>42</v>
      </c>
      <c r="H1391" s="30">
        <v>1050</v>
      </c>
      <c r="I1391" s="30">
        <f t="shared" si="40"/>
        <v>36750</v>
      </c>
      <c r="J1391" s="33">
        <f t="shared" si="41"/>
        <v>27.210884353741498</v>
      </c>
    </row>
    <row r="1392" spans="6:10" ht="15">
      <c r="F1392" s="30">
        <v>21</v>
      </c>
      <c r="G1392" s="30">
        <v>43</v>
      </c>
      <c r="H1392" s="30">
        <v>1075</v>
      </c>
      <c r="I1392" s="30">
        <f t="shared" si="40"/>
        <v>37625</v>
      </c>
      <c r="J1392" s="33">
        <f t="shared" si="41"/>
        <v>26.578073089700997</v>
      </c>
    </row>
    <row r="1393" spans="6:10" ht="15">
      <c r="F1393" s="30">
        <v>21</v>
      </c>
      <c r="G1393" s="30">
        <v>44</v>
      </c>
      <c r="H1393" s="30">
        <v>1100</v>
      </c>
      <c r="I1393" s="30">
        <f t="shared" si="40"/>
        <v>38500</v>
      </c>
      <c r="J1393" s="33">
        <f t="shared" si="41"/>
        <v>25.974025974025974</v>
      </c>
    </row>
    <row r="1394" spans="6:10" ht="15">
      <c r="F1394" s="30">
        <v>21</v>
      </c>
      <c r="G1394" s="30">
        <v>45</v>
      </c>
      <c r="H1394" s="30">
        <v>1125</v>
      </c>
      <c r="I1394" s="30">
        <f t="shared" si="40"/>
        <v>39375</v>
      </c>
      <c r="J1394" s="33">
        <f t="shared" si="41"/>
        <v>25.396825396825395</v>
      </c>
    </row>
    <row r="1395" spans="6:10" ht="15">
      <c r="F1395" s="30">
        <v>21</v>
      </c>
      <c r="G1395" s="30">
        <v>46</v>
      </c>
      <c r="H1395" s="30">
        <v>1150</v>
      </c>
      <c r="I1395" s="30">
        <f t="shared" si="40"/>
        <v>40250</v>
      </c>
      <c r="J1395" s="33">
        <f t="shared" si="41"/>
        <v>24.844720496894411</v>
      </c>
    </row>
    <row r="1396" spans="6:10" ht="15">
      <c r="F1396" s="30">
        <v>21</v>
      </c>
      <c r="G1396" s="30">
        <v>47</v>
      </c>
      <c r="H1396" s="30">
        <v>1175</v>
      </c>
      <c r="I1396" s="30">
        <f t="shared" si="40"/>
        <v>41125</v>
      </c>
      <c r="J1396" s="33">
        <f t="shared" si="41"/>
        <v>24.316109422492403</v>
      </c>
    </row>
    <row r="1397" spans="6:10" ht="15">
      <c r="F1397" s="30">
        <v>21</v>
      </c>
      <c r="G1397" s="30">
        <v>48</v>
      </c>
      <c r="H1397" s="30">
        <v>1200</v>
      </c>
      <c r="I1397" s="30">
        <f t="shared" si="40"/>
        <v>42000</v>
      </c>
      <c r="J1397" s="33">
        <f t="shared" si="41"/>
        <v>23.80952380952381</v>
      </c>
    </row>
    <row r="1398" spans="6:10" ht="15">
      <c r="F1398" s="30">
        <v>21</v>
      </c>
      <c r="G1398" s="30">
        <v>49</v>
      </c>
      <c r="H1398" s="30">
        <v>1225</v>
      </c>
      <c r="I1398" s="30">
        <f t="shared" si="40"/>
        <v>42875</v>
      </c>
      <c r="J1398" s="33">
        <f t="shared" si="41"/>
        <v>23.323615160349856</v>
      </c>
    </row>
    <row r="1399" spans="6:10" ht="15">
      <c r="F1399" s="30">
        <v>21</v>
      </c>
      <c r="G1399" s="30">
        <v>50</v>
      </c>
      <c r="H1399" s="30">
        <v>1250</v>
      </c>
      <c r="I1399" s="30">
        <f t="shared" si="40"/>
        <v>43750</v>
      </c>
      <c r="J1399" s="33">
        <f t="shared" si="41"/>
        <v>22.857142857142858</v>
      </c>
    </row>
    <row r="1400" spans="6:10" ht="15">
      <c r="F1400" s="30">
        <v>21</v>
      </c>
      <c r="G1400" s="30">
        <v>51</v>
      </c>
      <c r="H1400" s="30">
        <v>1275</v>
      </c>
      <c r="I1400" s="30">
        <f t="shared" si="40"/>
        <v>44625</v>
      </c>
      <c r="J1400" s="33">
        <f t="shared" si="41"/>
        <v>22.408963585434176</v>
      </c>
    </row>
    <row r="1401" spans="6:10" ht="15">
      <c r="F1401" s="30">
        <v>21</v>
      </c>
      <c r="G1401" s="30">
        <v>52</v>
      </c>
      <c r="H1401" s="30">
        <v>1300</v>
      </c>
      <c r="I1401" s="30">
        <f t="shared" si="40"/>
        <v>45500</v>
      </c>
      <c r="J1401" s="33">
        <f t="shared" si="41"/>
        <v>21.978021978021978</v>
      </c>
    </row>
    <row r="1402" spans="6:10" ht="15">
      <c r="F1402" s="30">
        <v>21</v>
      </c>
      <c r="G1402" s="30">
        <v>53</v>
      </c>
      <c r="H1402" s="30">
        <v>1325</v>
      </c>
      <c r="I1402" s="30">
        <f t="shared" si="40"/>
        <v>46375</v>
      </c>
      <c r="J1402" s="33">
        <f t="shared" si="41"/>
        <v>21.563342318059298</v>
      </c>
    </row>
    <row r="1403" spans="6:10" ht="15">
      <c r="F1403" s="30">
        <v>21</v>
      </c>
      <c r="G1403" s="30">
        <v>54</v>
      </c>
      <c r="H1403" s="30">
        <v>1350</v>
      </c>
      <c r="I1403" s="30">
        <f t="shared" si="40"/>
        <v>47250</v>
      </c>
      <c r="J1403" s="33">
        <f t="shared" si="41"/>
        <v>21.164021164021165</v>
      </c>
    </row>
    <row r="1404" spans="6:10" ht="15">
      <c r="F1404" s="30">
        <v>21</v>
      </c>
      <c r="G1404" s="30">
        <v>55</v>
      </c>
      <c r="H1404" s="30">
        <v>1375</v>
      </c>
      <c r="I1404" s="30">
        <f t="shared" si="40"/>
        <v>48125</v>
      </c>
      <c r="J1404" s="33">
        <f t="shared" si="41"/>
        <v>20.779220779220779</v>
      </c>
    </row>
    <row r="1405" spans="6:10" ht="15">
      <c r="F1405" s="30">
        <v>21</v>
      </c>
      <c r="G1405" s="30">
        <v>56</v>
      </c>
      <c r="H1405" s="30">
        <v>1400</v>
      </c>
      <c r="I1405" s="30">
        <f t="shared" si="40"/>
        <v>49000</v>
      </c>
      <c r="J1405" s="33">
        <f t="shared" si="41"/>
        <v>20.408163265306122</v>
      </c>
    </row>
    <row r="1406" spans="6:10" ht="15">
      <c r="F1406" s="30">
        <v>21</v>
      </c>
      <c r="G1406" s="30">
        <v>57</v>
      </c>
      <c r="H1406" s="30">
        <v>1425</v>
      </c>
      <c r="I1406" s="30">
        <f t="shared" si="40"/>
        <v>49875</v>
      </c>
      <c r="J1406" s="33">
        <f t="shared" si="41"/>
        <v>20.050125313283207</v>
      </c>
    </row>
    <row r="1407" spans="6:10" ht="15">
      <c r="F1407" s="30">
        <v>21</v>
      </c>
      <c r="G1407" s="30">
        <v>58</v>
      </c>
      <c r="H1407" s="30">
        <v>1450</v>
      </c>
      <c r="I1407" s="30">
        <f t="shared" si="40"/>
        <v>50750</v>
      </c>
      <c r="J1407" s="33">
        <f t="shared" si="41"/>
        <v>19.704433497536947</v>
      </c>
    </row>
    <row r="1408" spans="6:10" ht="15">
      <c r="F1408" s="30">
        <v>21</v>
      </c>
      <c r="G1408" s="30">
        <v>59</v>
      </c>
      <c r="H1408" s="30">
        <v>1475</v>
      </c>
      <c r="I1408" s="30">
        <f t="shared" si="40"/>
        <v>51625</v>
      </c>
      <c r="J1408" s="33">
        <f t="shared" si="41"/>
        <v>19.370460048426153</v>
      </c>
    </row>
    <row r="1409" spans="6:10" ht="15">
      <c r="F1409" s="30">
        <v>21</v>
      </c>
      <c r="G1409" s="30">
        <v>60</v>
      </c>
      <c r="H1409" s="30">
        <v>1500</v>
      </c>
      <c r="I1409" s="30">
        <f t="shared" si="40"/>
        <v>52500</v>
      </c>
      <c r="J1409" s="33">
        <f t="shared" si="41"/>
        <v>19.047619047619047</v>
      </c>
    </row>
    <row r="1410" spans="6:10" ht="15">
      <c r="F1410" s="30">
        <v>21</v>
      </c>
      <c r="G1410" s="30">
        <v>61</v>
      </c>
      <c r="H1410" s="30">
        <v>1525</v>
      </c>
      <c r="I1410" s="30">
        <f t="shared" si="40"/>
        <v>53375</v>
      </c>
      <c r="J1410" s="33">
        <f t="shared" si="41"/>
        <v>18.735362997658079</v>
      </c>
    </row>
    <row r="1411" spans="6:10" ht="15">
      <c r="F1411" s="30">
        <v>21</v>
      </c>
      <c r="G1411" s="30">
        <v>62</v>
      </c>
      <c r="H1411" s="30">
        <v>1550</v>
      </c>
      <c r="I1411" s="30">
        <f t="shared" si="40"/>
        <v>54250</v>
      </c>
      <c r="J1411" s="33">
        <f t="shared" si="41"/>
        <v>18.433179723502302</v>
      </c>
    </row>
    <row r="1412" spans="6:10" ht="15">
      <c r="F1412" s="30">
        <v>21</v>
      </c>
      <c r="G1412" s="30">
        <v>63</v>
      </c>
      <c r="H1412" s="30">
        <v>1575</v>
      </c>
      <c r="I1412" s="30">
        <f t="shared" si="40"/>
        <v>55125</v>
      </c>
      <c r="J1412" s="33">
        <f t="shared" si="41"/>
        <v>18.140589569160998</v>
      </c>
    </row>
    <row r="1413" spans="6:10" ht="15">
      <c r="F1413" s="30">
        <v>21</v>
      </c>
      <c r="G1413" s="30">
        <v>64</v>
      </c>
      <c r="H1413" s="30">
        <v>1600</v>
      </c>
      <c r="I1413" s="30">
        <f t="shared" si="40"/>
        <v>56000</v>
      </c>
      <c r="J1413" s="33">
        <f t="shared" si="41"/>
        <v>17.857142857142858</v>
      </c>
    </row>
    <row r="1414" spans="6:10" ht="15">
      <c r="F1414" s="30">
        <v>22</v>
      </c>
      <c r="G1414" s="30">
        <v>1</v>
      </c>
      <c r="H1414" s="30">
        <v>25</v>
      </c>
      <c r="I1414" s="30">
        <f t="shared" si="40"/>
        <v>900</v>
      </c>
      <c r="J1414" s="33">
        <f t="shared" si="41"/>
        <v>1111.1111111111111</v>
      </c>
    </row>
    <row r="1415" spans="6:10" ht="15">
      <c r="F1415" s="30">
        <v>22</v>
      </c>
      <c r="G1415" s="30">
        <v>2</v>
      </c>
      <c r="H1415" s="30">
        <v>50</v>
      </c>
      <c r="I1415" s="30">
        <f t="shared" ref="I1415:I1478" si="42">(14+F1415)*H1415</f>
        <v>1800</v>
      </c>
      <c r="J1415" s="33">
        <f t="shared" ref="J1415:J1478" si="43">(1/I1415)*1000000</f>
        <v>555.55555555555554</v>
      </c>
    </row>
    <row r="1416" spans="6:10" ht="15">
      <c r="F1416" s="30">
        <v>22</v>
      </c>
      <c r="G1416" s="30">
        <v>3</v>
      </c>
      <c r="H1416" s="30">
        <v>75</v>
      </c>
      <c r="I1416" s="30">
        <f t="shared" si="42"/>
        <v>2700</v>
      </c>
      <c r="J1416" s="33">
        <f t="shared" si="43"/>
        <v>370.37037037037032</v>
      </c>
    </row>
    <row r="1417" spans="6:10" ht="15">
      <c r="F1417" s="30">
        <v>22</v>
      </c>
      <c r="G1417" s="30">
        <v>4</v>
      </c>
      <c r="H1417" s="30">
        <v>100</v>
      </c>
      <c r="I1417" s="30">
        <f t="shared" si="42"/>
        <v>3600</v>
      </c>
      <c r="J1417" s="33">
        <f t="shared" si="43"/>
        <v>277.77777777777777</v>
      </c>
    </row>
    <row r="1418" spans="6:10" ht="15">
      <c r="F1418" s="30">
        <v>22</v>
      </c>
      <c r="G1418" s="30">
        <v>5</v>
      </c>
      <c r="H1418" s="30">
        <v>125</v>
      </c>
      <c r="I1418" s="30">
        <f t="shared" si="42"/>
        <v>4500</v>
      </c>
      <c r="J1418" s="33">
        <f t="shared" si="43"/>
        <v>222.22222222222223</v>
      </c>
    </row>
    <row r="1419" spans="6:10" ht="15">
      <c r="F1419" s="30">
        <v>22</v>
      </c>
      <c r="G1419" s="30">
        <v>6</v>
      </c>
      <c r="H1419" s="30">
        <v>150</v>
      </c>
      <c r="I1419" s="30">
        <f t="shared" si="42"/>
        <v>5400</v>
      </c>
      <c r="J1419" s="33">
        <f t="shared" si="43"/>
        <v>185.18518518518516</v>
      </c>
    </row>
    <row r="1420" spans="6:10" ht="15">
      <c r="F1420" s="30">
        <v>22</v>
      </c>
      <c r="G1420" s="30">
        <v>7</v>
      </c>
      <c r="H1420" s="30">
        <v>175</v>
      </c>
      <c r="I1420" s="30">
        <f t="shared" si="42"/>
        <v>6300</v>
      </c>
      <c r="J1420" s="33">
        <f t="shared" si="43"/>
        <v>158.73015873015873</v>
      </c>
    </row>
    <row r="1421" spans="6:10" ht="15">
      <c r="F1421" s="30">
        <v>22</v>
      </c>
      <c r="G1421" s="30">
        <v>8</v>
      </c>
      <c r="H1421" s="30">
        <v>200</v>
      </c>
      <c r="I1421" s="30">
        <f t="shared" si="42"/>
        <v>7200</v>
      </c>
      <c r="J1421" s="33">
        <f t="shared" si="43"/>
        <v>138.88888888888889</v>
      </c>
    </row>
    <row r="1422" spans="6:10" ht="15">
      <c r="F1422" s="30">
        <v>22</v>
      </c>
      <c r="G1422" s="30">
        <v>9</v>
      </c>
      <c r="H1422" s="30">
        <v>225</v>
      </c>
      <c r="I1422" s="30">
        <f t="shared" si="42"/>
        <v>8100</v>
      </c>
      <c r="J1422" s="33">
        <f t="shared" si="43"/>
        <v>123.4567901234568</v>
      </c>
    </row>
    <row r="1423" spans="6:10" ht="15">
      <c r="F1423" s="30">
        <v>22</v>
      </c>
      <c r="G1423" s="30">
        <v>10</v>
      </c>
      <c r="H1423" s="30">
        <v>250</v>
      </c>
      <c r="I1423" s="30">
        <f t="shared" si="42"/>
        <v>9000</v>
      </c>
      <c r="J1423" s="33">
        <f t="shared" si="43"/>
        <v>111.11111111111111</v>
      </c>
    </row>
    <row r="1424" spans="6:10" ht="15">
      <c r="F1424" s="30">
        <v>22</v>
      </c>
      <c r="G1424" s="30">
        <v>11</v>
      </c>
      <c r="H1424" s="30">
        <v>275</v>
      </c>
      <c r="I1424" s="30">
        <f t="shared" si="42"/>
        <v>9900</v>
      </c>
      <c r="J1424" s="33">
        <f t="shared" si="43"/>
        <v>101.01010101010101</v>
      </c>
    </row>
    <row r="1425" spans="6:10" ht="15">
      <c r="F1425" s="30">
        <v>22</v>
      </c>
      <c r="G1425" s="30">
        <v>12</v>
      </c>
      <c r="H1425" s="30">
        <v>300</v>
      </c>
      <c r="I1425" s="30">
        <f t="shared" si="42"/>
        <v>10800</v>
      </c>
      <c r="J1425" s="33">
        <f t="shared" si="43"/>
        <v>92.592592592592581</v>
      </c>
    </row>
    <row r="1426" spans="6:10" ht="15">
      <c r="F1426" s="30">
        <v>22</v>
      </c>
      <c r="G1426" s="30">
        <v>13</v>
      </c>
      <c r="H1426" s="30">
        <v>325</v>
      </c>
      <c r="I1426" s="30">
        <f t="shared" si="42"/>
        <v>11700</v>
      </c>
      <c r="J1426" s="33">
        <f t="shared" si="43"/>
        <v>85.470085470085465</v>
      </c>
    </row>
    <row r="1427" spans="6:10" ht="15">
      <c r="F1427" s="30">
        <v>22</v>
      </c>
      <c r="G1427" s="30">
        <v>14</v>
      </c>
      <c r="H1427" s="30">
        <v>350</v>
      </c>
      <c r="I1427" s="30">
        <f t="shared" si="42"/>
        <v>12600</v>
      </c>
      <c r="J1427" s="33">
        <f t="shared" si="43"/>
        <v>79.365079365079367</v>
      </c>
    </row>
    <row r="1428" spans="6:10" ht="15">
      <c r="F1428" s="30">
        <v>22</v>
      </c>
      <c r="G1428" s="30">
        <v>15</v>
      </c>
      <c r="H1428" s="30">
        <v>375</v>
      </c>
      <c r="I1428" s="30">
        <f t="shared" si="42"/>
        <v>13500</v>
      </c>
      <c r="J1428" s="33">
        <f t="shared" si="43"/>
        <v>74.074074074074076</v>
      </c>
    </row>
    <row r="1429" spans="6:10" ht="15">
      <c r="F1429" s="30">
        <v>22</v>
      </c>
      <c r="G1429" s="30">
        <v>16</v>
      </c>
      <c r="H1429" s="30">
        <v>400</v>
      </c>
      <c r="I1429" s="30">
        <f t="shared" si="42"/>
        <v>14400</v>
      </c>
      <c r="J1429" s="33">
        <f t="shared" si="43"/>
        <v>69.444444444444443</v>
      </c>
    </row>
    <row r="1430" spans="6:10" ht="15">
      <c r="F1430" s="30">
        <v>22</v>
      </c>
      <c r="G1430" s="30">
        <v>17</v>
      </c>
      <c r="H1430" s="30">
        <v>425</v>
      </c>
      <c r="I1430" s="30">
        <f t="shared" si="42"/>
        <v>15300</v>
      </c>
      <c r="J1430" s="33">
        <f t="shared" si="43"/>
        <v>65.359477124183016</v>
      </c>
    </row>
    <row r="1431" spans="6:10" ht="15">
      <c r="F1431" s="30">
        <v>22</v>
      </c>
      <c r="G1431" s="30">
        <v>18</v>
      </c>
      <c r="H1431" s="30">
        <v>450</v>
      </c>
      <c r="I1431" s="30">
        <f t="shared" si="42"/>
        <v>16200</v>
      </c>
      <c r="J1431" s="33">
        <f t="shared" si="43"/>
        <v>61.728395061728399</v>
      </c>
    </row>
    <row r="1432" spans="6:10" ht="15">
      <c r="F1432" s="30">
        <v>22</v>
      </c>
      <c r="G1432" s="30">
        <v>19</v>
      </c>
      <c r="H1432" s="30">
        <v>475</v>
      </c>
      <c r="I1432" s="30">
        <f t="shared" si="42"/>
        <v>17100</v>
      </c>
      <c r="J1432" s="33">
        <f t="shared" si="43"/>
        <v>58.479532163742689</v>
      </c>
    </row>
    <row r="1433" spans="6:10" ht="15">
      <c r="F1433" s="30">
        <v>22</v>
      </c>
      <c r="G1433" s="30">
        <v>20</v>
      </c>
      <c r="H1433" s="30">
        <v>500</v>
      </c>
      <c r="I1433" s="30">
        <f t="shared" si="42"/>
        <v>18000</v>
      </c>
      <c r="J1433" s="33">
        <f t="shared" si="43"/>
        <v>55.555555555555557</v>
      </c>
    </row>
    <row r="1434" spans="6:10" ht="15">
      <c r="F1434" s="30">
        <v>22</v>
      </c>
      <c r="G1434" s="30">
        <v>21</v>
      </c>
      <c r="H1434" s="30">
        <v>525</v>
      </c>
      <c r="I1434" s="30">
        <f t="shared" si="42"/>
        <v>18900</v>
      </c>
      <c r="J1434" s="33">
        <f t="shared" si="43"/>
        <v>52.910052910052912</v>
      </c>
    </row>
    <row r="1435" spans="6:10" ht="15">
      <c r="F1435" s="30">
        <v>22</v>
      </c>
      <c r="G1435" s="30">
        <v>22</v>
      </c>
      <c r="H1435" s="30">
        <v>550</v>
      </c>
      <c r="I1435" s="30">
        <f t="shared" si="42"/>
        <v>19800</v>
      </c>
      <c r="J1435" s="33">
        <f t="shared" si="43"/>
        <v>50.505050505050505</v>
      </c>
    </row>
    <row r="1436" spans="6:10" ht="15">
      <c r="F1436" s="30">
        <v>22</v>
      </c>
      <c r="G1436" s="30">
        <v>23</v>
      </c>
      <c r="H1436" s="30">
        <v>575</v>
      </c>
      <c r="I1436" s="30">
        <f t="shared" si="42"/>
        <v>20700</v>
      </c>
      <c r="J1436" s="33">
        <f t="shared" si="43"/>
        <v>48.309178743961354</v>
      </c>
    </row>
    <row r="1437" spans="6:10" ht="15">
      <c r="F1437" s="30">
        <v>22</v>
      </c>
      <c r="G1437" s="30">
        <v>24</v>
      </c>
      <c r="H1437" s="30">
        <v>600</v>
      </c>
      <c r="I1437" s="30">
        <f t="shared" si="42"/>
        <v>21600</v>
      </c>
      <c r="J1437" s="33">
        <f t="shared" si="43"/>
        <v>46.296296296296291</v>
      </c>
    </row>
    <row r="1438" spans="6:10" ht="15">
      <c r="F1438" s="30">
        <v>22</v>
      </c>
      <c r="G1438" s="30">
        <v>25</v>
      </c>
      <c r="H1438" s="30">
        <v>625</v>
      </c>
      <c r="I1438" s="30">
        <f t="shared" si="42"/>
        <v>22500</v>
      </c>
      <c r="J1438" s="33">
        <f t="shared" si="43"/>
        <v>44.44444444444445</v>
      </c>
    </row>
    <row r="1439" spans="6:10" ht="15">
      <c r="F1439" s="30">
        <v>22</v>
      </c>
      <c r="G1439" s="30">
        <v>26</v>
      </c>
      <c r="H1439" s="30">
        <v>650</v>
      </c>
      <c r="I1439" s="30">
        <f t="shared" si="42"/>
        <v>23400</v>
      </c>
      <c r="J1439" s="33">
        <f t="shared" si="43"/>
        <v>42.735042735042732</v>
      </c>
    </row>
    <row r="1440" spans="6:10" ht="15">
      <c r="F1440" s="30">
        <v>22</v>
      </c>
      <c r="G1440" s="30">
        <v>27</v>
      </c>
      <c r="H1440" s="30">
        <v>675</v>
      </c>
      <c r="I1440" s="30">
        <f t="shared" si="42"/>
        <v>24300</v>
      </c>
      <c r="J1440" s="33">
        <f t="shared" si="43"/>
        <v>41.152263374485599</v>
      </c>
    </row>
    <row r="1441" spans="6:10" ht="15">
      <c r="F1441" s="30">
        <v>22</v>
      </c>
      <c r="G1441" s="30">
        <v>28</v>
      </c>
      <c r="H1441" s="30">
        <v>700</v>
      </c>
      <c r="I1441" s="30">
        <f t="shared" si="42"/>
        <v>25200</v>
      </c>
      <c r="J1441" s="33">
        <f t="shared" si="43"/>
        <v>39.682539682539684</v>
      </c>
    </row>
    <row r="1442" spans="6:10" ht="15">
      <c r="F1442" s="30">
        <v>22</v>
      </c>
      <c r="G1442" s="30">
        <v>29</v>
      </c>
      <c r="H1442" s="30">
        <v>725</v>
      </c>
      <c r="I1442" s="30">
        <f t="shared" si="42"/>
        <v>26100</v>
      </c>
      <c r="J1442" s="33">
        <f t="shared" si="43"/>
        <v>38.314176245210724</v>
      </c>
    </row>
    <row r="1443" spans="6:10" ht="15">
      <c r="F1443" s="30">
        <v>22</v>
      </c>
      <c r="G1443" s="30">
        <v>30</v>
      </c>
      <c r="H1443" s="30">
        <v>750</v>
      </c>
      <c r="I1443" s="30">
        <f t="shared" si="42"/>
        <v>27000</v>
      </c>
      <c r="J1443" s="33">
        <f t="shared" si="43"/>
        <v>37.037037037037038</v>
      </c>
    </row>
    <row r="1444" spans="6:10" ht="15">
      <c r="F1444" s="30">
        <v>22</v>
      </c>
      <c r="G1444" s="30">
        <v>31</v>
      </c>
      <c r="H1444" s="30">
        <v>775</v>
      </c>
      <c r="I1444" s="30">
        <f t="shared" si="42"/>
        <v>27900</v>
      </c>
      <c r="J1444" s="33">
        <f t="shared" si="43"/>
        <v>35.842293906810035</v>
      </c>
    </row>
    <row r="1445" spans="6:10" ht="15">
      <c r="F1445" s="30">
        <v>22</v>
      </c>
      <c r="G1445" s="30">
        <v>32</v>
      </c>
      <c r="H1445" s="30">
        <v>800</v>
      </c>
      <c r="I1445" s="30">
        <f t="shared" si="42"/>
        <v>28800</v>
      </c>
      <c r="J1445" s="33">
        <f t="shared" si="43"/>
        <v>34.722222222222221</v>
      </c>
    </row>
    <row r="1446" spans="6:10" ht="15">
      <c r="F1446" s="30">
        <v>22</v>
      </c>
      <c r="G1446" s="30">
        <v>33</v>
      </c>
      <c r="H1446" s="30">
        <v>825</v>
      </c>
      <c r="I1446" s="30">
        <f t="shared" si="42"/>
        <v>29700</v>
      </c>
      <c r="J1446" s="33">
        <f t="shared" si="43"/>
        <v>33.670033670033668</v>
      </c>
    </row>
    <row r="1447" spans="6:10" ht="15">
      <c r="F1447" s="30">
        <v>22</v>
      </c>
      <c r="G1447" s="30">
        <v>34</v>
      </c>
      <c r="H1447" s="30">
        <v>850</v>
      </c>
      <c r="I1447" s="30">
        <f t="shared" si="42"/>
        <v>30600</v>
      </c>
      <c r="J1447" s="33">
        <f t="shared" si="43"/>
        <v>32.679738562091508</v>
      </c>
    </row>
    <row r="1448" spans="6:10" ht="15">
      <c r="F1448" s="30">
        <v>22</v>
      </c>
      <c r="G1448" s="30">
        <v>35</v>
      </c>
      <c r="H1448" s="30">
        <v>875</v>
      </c>
      <c r="I1448" s="30">
        <f t="shared" si="42"/>
        <v>31500</v>
      </c>
      <c r="J1448" s="33">
        <f t="shared" si="43"/>
        <v>31.746031746031743</v>
      </c>
    </row>
    <row r="1449" spans="6:10" ht="15">
      <c r="F1449" s="30">
        <v>22</v>
      </c>
      <c r="G1449" s="30">
        <v>36</v>
      </c>
      <c r="H1449" s="30">
        <v>900</v>
      </c>
      <c r="I1449" s="30">
        <f t="shared" si="42"/>
        <v>32400</v>
      </c>
      <c r="J1449" s="33">
        <f t="shared" si="43"/>
        <v>30.8641975308642</v>
      </c>
    </row>
    <row r="1450" spans="6:10" ht="15">
      <c r="F1450" s="30">
        <v>22</v>
      </c>
      <c r="G1450" s="30">
        <v>37</v>
      </c>
      <c r="H1450" s="30">
        <v>925</v>
      </c>
      <c r="I1450" s="30">
        <f t="shared" si="42"/>
        <v>33300</v>
      </c>
      <c r="J1450" s="33">
        <f t="shared" si="43"/>
        <v>30.03003003003003</v>
      </c>
    </row>
    <row r="1451" spans="6:10" ht="15">
      <c r="F1451" s="30">
        <v>22</v>
      </c>
      <c r="G1451" s="30">
        <v>38</v>
      </c>
      <c r="H1451" s="30">
        <v>950</v>
      </c>
      <c r="I1451" s="30">
        <f t="shared" si="42"/>
        <v>34200</v>
      </c>
      <c r="J1451" s="33">
        <f t="shared" si="43"/>
        <v>29.239766081871345</v>
      </c>
    </row>
    <row r="1452" spans="6:10" ht="15">
      <c r="F1452" s="30">
        <v>22</v>
      </c>
      <c r="G1452" s="30">
        <v>39</v>
      </c>
      <c r="H1452" s="30">
        <v>975</v>
      </c>
      <c r="I1452" s="30">
        <f t="shared" si="42"/>
        <v>35100</v>
      </c>
      <c r="J1452" s="33">
        <f t="shared" si="43"/>
        <v>28.490028490028489</v>
      </c>
    </row>
    <row r="1453" spans="6:10" ht="15">
      <c r="F1453" s="30">
        <v>22</v>
      </c>
      <c r="G1453" s="30">
        <v>40</v>
      </c>
      <c r="H1453" s="30">
        <v>1000</v>
      </c>
      <c r="I1453" s="30">
        <f t="shared" si="42"/>
        <v>36000</v>
      </c>
      <c r="J1453" s="33">
        <f t="shared" si="43"/>
        <v>27.777777777777779</v>
      </c>
    </row>
    <row r="1454" spans="6:10" ht="15">
      <c r="F1454" s="30">
        <v>22</v>
      </c>
      <c r="G1454" s="30">
        <v>41</v>
      </c>
      <c r="H1454" s="30">
        <v>1025</v>
      </c>
      <c r="I1454" s="30">
        <f t="shared" si="42"/>
        <v>36900</v>
      </c>
      <c r="J1454" s="33">
        <f t="shared" si="43"/>
        <v>27.100271002710027</v>
      </c>
    </row>
    <row r="1455" spans="6:10" ht="15">
      <c r="F1455" s="30">
        <v>22</v>
      </c>
      <c r="G1455" s="30">
        <v>42</v>
      </c>
      <c r="H1455" s="30">
        <v>1050</v>
      </c>
      <c r="I1455" s="30">
        <f t="shared" si="42"/>
        <v>37800</v>
      </c>
      <c r="J1455" s="33">
        <f t="shared" si="43"/>
        <v>26.455026455026456</v>
      </c>
    </row>
    <row r="1456" spans="6:10" ht="15">
      <c r="F1456" s="30">
        <v>22</v>
      </c>
      <c r="G1456" s="30">
        <v>43</v>
      </c>
      <c r="H1456" s="30">
        <v>1075</v>
      </c>
      <c r="I1456" s="30">
        <f t="shared" si="42"/>
        <v>38700</v>
      </c>
      <c r="J1456" s="33">
        <f t="shared" si="43"/>
        <v>25.839793281653748</v>
      </c>
    </row>
    <row r="1457" spans="6:10" ht="15">
      <c r="F1457" s="30">
        <v>22</v>
      </c>
      <c r="G1457" s="30">
        <v>44</v>
      </c>
      <c r="H1457" s="30">
        <v>1100</v>
      </c>
      <c r="I1457" s="30">
        <f t="shared" si="42"/>
        <v>39600</v>
      </c>
      <c r="J1457" s="33">
        <f t="shared" si="43"/>
        <v>25.252525252525253</v>
      </c>
    </row>
    <row r="1458" spans="6:10" ht="15">
      <c r="F1458" s="30">
        <v>22</v>
      </c>
      <c r="G1458" s="30">
        <v>45</v>
      </c>
      <c r="H1458" s="30">
        <v>1125</v>
      </c>
      <c r="I1458" s="30">
        <f t="shared" si="42"/>
        <v>40500</v>
      </c>
      <c r="J1458" s="33">
        <f t="shared" si="43"/>
        <v>24.691358024691358</v>
      </c>
    </row>
    <row r="1459" spans="6:10" ht="15">
      <c r="F1459" s="30">
        <v>22</v>
      </c>
      <c r="G1459" s="30">
        <v>46</v>
      </c>
      <c r="H1459" s="30">
        <v>1150</v>
      </c>
      <c r="I1459" s="30">
        <f t="shared" si="42"/>
        <v>41400</v>
      </c>
      <c r="J1459" s="33">
        <f t="shared" si="43"/>
        <v>24.154589371980677</v>
      </c>
    </row>
    <row r="1460" spans="6:10" ht="15">
      <c r="F1460" s="30">
        <v>22</v>
      </c>
      <c r="G1460" s="30">
        <v>47</v>
      </c>
      <c r="H1460" s="30">
        <v>1175</v>
      </c>
      <c r="I1460" s="30">
        <f t="shared" si="42"/>
        <v>42300</v>
      </c>
      <c r="J1460" s="33">
        <f t="shared" si="43"/>
        <v>23.640661938534279</v>
      </c>
    </row>
    <row r="1461" spans="6:10" ht="15">
      <c r="F1461" s="30">
        <v>22</v>
      </c>
      <c r="G1461" s="30">
        <v>48</v>
      </c>
      <c r="H1461" s="30">
        <v>1200</v>
      </c>
      <c r="I1461" s="30">
        <f t="shared" si="42"/>
        <v>43200</v>
      </c>
      <c r="J1461" s="33">
        <f t="shared" si="43"/>
        <v>23.148148148148145</v>
      </c>
    </row>
    <row r="1462" spans="6:10" ht="15">
      <c r="F1462" s="30">
        <v>22</v>
      </c>
      <c r="G1462" s="30">
        <v>49</v>
      </c>
      <c r="H1462" s="30">
        <v>1225</v>
      </c>
      <c r="I1462" s="30">
        <f t="shared" si="42"/>
        <v>44100</v>
      </c>
      <c r="J1462" s="33">
        <f t="shared" si="43"/>
        <v>22.675736961451246</v>
      </c>
    </row>
    <row r="1463" spans="6:10" ht="15">
      <c r="F1463" s="30">
        <v>22</v>
      </c>
      <c r="G1463" s="30">
        <v>50</v>
      </c>
      <c r="H1463" s="30">
        <v>1250</v>
      </c>
      <c r="I1463" s="30">
        <f t="shared" si="42"/>
        <v>45000</v>
      </c>
      <c r="J1463" s="33">
        <f t="shared" si="43"/>
        <v>22.222222222222225</v>
      </c>
    </row>
    <row r="1464" spans="6:10" ht="15">
      <c r="F1464" s="30">
        <v>22</v>
      </c>
      <c r="G1464" s="30">
        <v>51</v>
      </c>
      <c r="H1464" s="30">
        <v>1275</v>
      </c>
      <c r="I1464" s="30">
        <f t="shared" si="42"/>
        <v>45900</v>
      </c>
      <c r="J1464" s="33">
        <f t="shared" si="43"/>
        <v>21.786492374727668</v>
      </c>
    </row>
    <row r="1465" spans="6:10" ht="15">
      <c r="F1465" s="30">
        <v>22</v>
      </c>
      <c r="G1465" s="30">
        <v>52</v>
      </c>
      <c r="H1465" s="30">
        <v>1300</v>
      </c>
      <c r="I1465" s="30">
        <f t="shared" si="42"/>
        <v>46800</v>
      </c>
      <c r="J1465" s="33">
        <f t="shared" si="43"/>
        <v>21.367521367521366</v>
      </c>
    </row>
    <row r="1466" spans="6:10" ht="15">
      <c r="F1466" s="30">
        <v>22</v>
      </c>
      <c r="G1466" s="30">
        <v>53</v>
      </c>
      <c r="H1466" s="30">
        <v>1325</v>
      </c>
      <c r="I1466" s="30">
        <f t="shared" si="42"/>
        <v>47700</v>
      </c>
      <c r="J1466" s="33">
        <f t="shared" si="43"/>
        <v>20.964360587002094</v>
      </c>
    </row>
    <row r="1467" spans="6:10" ht="15">
      <c r="F1467" s="30">
        <v>22</v>
      </c>
      <c r="G1467" s="30">
        <v>54</v>
      </c>
      <c r="H1467" s="30">
        <v>1350</v>
      </c>
      <c r="I1467" s="30">
        <f t="shared" si="42"/>
        <v>48600</v>
      </c>
      <c r="J1467" s="33">
        <f t="shared" si="43"/>
        <v>20.5761316872428</v>
      </c>
    </row>
    <row r="1468" spans="6:10" ht="15">
      <c r="F1468" s="30">
        <v>22</v>
      </c>
      <c r="G1468" s="30">
        <v>55</v>
      </c>
      <c r="H1468" s="30">
        <v>1375</v>
      </c>
      <c r="I1468" s="30">
        <f t="shared" si="42"/>
        <v>49500</v>
      </c>
      <c r="J1468" s="33">
        <f t="shared" si="43"/>
        <v>20.202020202020204</v>
      </c>
    </row>
    <row r="1469" spans="6:10" ht="15">
      <c r="F1469" s="30">
        <v>22</v>
      </c>
      <c r="G1469" s="30">
        <v>56</v>
      </c>
      <c r="H1469" s="30">
        <v>1400</v>
      </c>
      <c r="I1469" s="30">
        <f t="shared" si="42"/>
        <v>50400</v>
      </c>
      <c r="J1469" s="33">
        <f t="shared" si="43"/>
        <v>19.841269841269842</v>
      </c>
    </row>
    <row r="1470" spans="6:10" ht="15">
      <c r="F1470" s="30">
        <v>22</v>
      </c>
      <c r="G1470" s="30">
        <v>57</v>
      </c>
      <c r="H1470" s="30">
        <v>1425</v>
      </c>
      <c r="I1470" s="30">
        <f t="shared" si="42"/>
        <v>51300</v>
      </c>
      <c r="J1470" s="33">
        <f t="shared" si="43"/>
        <v>19.49317738791423</v>
      </c>
    </row>
    <row r="1471" spans="6:10" ht="15">
      <c r="F1471" s="30">
        <v>22</v>
      </c>
      <c r="G1471" s="30">
        <v>58</v>
      </c>
      <c r="H1471" s="30">
        <v>1450</v>
      </c>
      <c r="I1471" s="30">
        <f t="shared" si="42"/>
        <v>52200</v>
      </c>
      <c r="J1471" s="33">
        <f t="shared" si="43"/>
        <v>19.157088122605362</v>
      </c>
    </row>
    <row r="1472" spans="6:10" ht="15">
      <c r="F1472" s="30">
        <v>22</v>
      </c>
      <c r="G1472" s="30">
        <v>59</v>
      </c>
      <c r="H1472" s="30">
        <v>1475</v>
      </c>
      <c r="I1472" s="30">
        <f t="shared" si="42"/>
        <v>53100</v>
      </c>
      <c r="J1472" s="33">
        <f t="shared" si="43"/>
        <v>18.832391713747647</v>
      </c>
    </row>
    <row r="1473" spans="6:10" ht="15">
      <c r="F1473" s="30">
        <v>22</v>
      </c>
      <c r="G1473" s="30">
        <v>60</v>
      </c>
      <c r="H1473" s="30">
        <v>1500</v>
      </c>
      <c r="I1473" s="30">
        <f t="shared" si="42"/>
        <v>54000</v>
      </c>
      <c r="J1473" s="33">
        <f t="shared" si="43"/>
        <v>18.518518518518519</v>
      </c>
    </row>
    <row r="1474" spans="6:10" ht="15">
      <c r="F1474" s="30">
        <v>22</v>
      </c>
      <c r="G1474" s="30">
        <v>61</v>
      </c>
      <c r="H1474" s="30">
        <v>1525</v>
      </c>
      <c r="I1474" s="30">
        <f t="shared" si="42"/>
        <v>54900</v>
      </c>
      <c r="J1474" s="33">
        <f t="shared" si="43"/>
        <v>18.214936247723134</v>
      </c>
    </row>
    <row r="1475" spans="6:10" ht="15">
      <c r="F1475" s="30">
        <v>22</v>
      </c>
      <c r="G1475" s="30">
        <v>62</v>
      </c>
      <c r="H1475" s="30">
        <v>1550</v>
      </c>
      <c r="I1475" s="30">
        <f t="shared" si="42"/>
        <v>55800</v>
      </c>
      <c r="J1475" s="33">
        <f t="shared" si="43"/>
        <v>17.921146953405017</v>
      </c>
    </row>
    <row r="1476" spans="6:10" ht="15">
      <c r="F1476" s="30">
        <v>22</v>
      </c>
      <c r="G1476" s="30">
        <v>63</v>
      </c>
      <c r="H1476" s="30">
        <v>1575</v>
      </c>
      <c r="I1476" s="30">
        <f t="shared" si="42"/>
        <v>56700</v>
      </c>
      <c r="J1476" s="33">
        <f t="shared" si="43"/>
        <v>17.636684303350968</v>
      </c>
    </row>
    <row r="1477" spans="6:10" ht="15">
      <c r="F1477" s="30">
        <v>22</v>
      </c>
      <c r="G1477" s="30">
        <v>64</v>
      </c>
      <c r="H1477" s="30">
        <v>1600</v>
      </c>
      <c r="I1477" s="30">
        <f t="shared" si="42"/>
        <v>57600</v>
      </c>
      <c r="J1477" s="33">
        <f t="shared" si="43"/>
        <v>17.361111111111111</v>
      </c>
    </row>
    <row r="1478" spans="6:10" ht="15">
      <c r="F1478" s="30">
        <v>23</v>
      </c>
      <c r="G1478" s="30">
        <v>1</v>
      </c>
      <c r="H1478" s="30">
        <v>25</v>
      </c>
      <c r="I1478" s="30">
        <f t="shared" si="42"/>
        <v>925</v>
      </c>
      <c r="J1478" s="33">
        <f t="shared" si="43"/>
        <v>1081.081081081081</v>
      </c>
    </row>
    <row r="1479" spans="6:10" ht="15">
      <c r="F1479" s="30">
        <v>23</v>
      </c>
      <c r="G1479" s="30">
        <v>2</v>
      </c>
      <c r="H1479" s="30">
        <v>50</v>
      </c>
      <c r="I1479" s="30">
        <f t="shared" ref="I1479:I1542" si="44">(14+F1479)*H1479</f>
        <v>1850</v>
      </c>
      <c r="J1479" s="33">
        <f t="shared" ref="J1479:J1542" si="45">(1/I1479)*1000000</f>
        <v>540.54054054054052</v>
      </c>
    </row>
    <row r="1480" spans="6:10" ht="15">
      <c r="F1480" s="30">
        <v>23</v>
      </c>
      <c r="G1480" s="30">
        <v>3</v>
      </c>
      <c r="H1480" s="30">
        <v>75</v>
      </c>
      <c r="I1480" s="30">
        <f t="shared" si="44"/>
        <v>2775</v>
      </c>
      <c r="J1480" s="33">
        <f t="shared" si="45"/>
        <v>360.36036036036035</v>
      </c>
    </row>
    <row r="1481" spans="6:10" ht="15">
      <c r="F1481" s="30">
        <v>23</v>
      </c>
      <c r="G1481" s="30">
        <v>4</v>
      </c>
      <c r="H1481" s="30">
        <v>100</v>
      </c>
      <c r="I1481" s="30">
        <f t="shared" si="44"/>
        <v>3700</v>
      </c>
      <c r="J1481" s="33">
        <f t="shared" si="45"/>
        <v>270.27027027027026</v>
      </c>
    </row>
    <row r="1482" spans="6:10" ht="15">
      <c r="F1482" s="30">
        <v>23</v>
      </c>
      <c r="G1482" s="30">
        <v>5</v>
      </c>
      <c r="H1482" s="30">
        <v>125</v>
      </c>
      <c r="I1482" s="30">
        <f t="shared" si="44"/>
        <v>4625</v>
      </c>
      <c r="J1482" s="33">
        <f t="shared" si="45"/>
        <v>216.21621621621622</v>
      </c>
    </row>
    <row r="1483" spans="6:10" ht="15">
      <c r="F1483" s="30">
        <v>23</v>
      </c>
      <c r="G1483" s="30">
        <v>6</v>
      </c>
      <c r="H1483" s="30">
        <v>150</v>
      </c>
      <c r="I1483" s="30">
        <f t="shared" si="44"/>
        <v>5550</v>
      </c>
      <c r="J1483" s="33">
        <f t="shared" si="45"/>
        <v>180.18018018018017</v>
      </c>
    </row>
    <row r="1484" spans="6:10" ht="15">
      <c r="F1484" s="30">
        <v>23</v>
      </c>
      <c r="G1484" s="30">
        <v>7</v>
      </c>
      <c r="H1484" s="30">
        <v>175</v>
      </c>
      <c r="I1484" s="30">
        <f t="shared" si="44"/>
        <v>6475</v>
      </c>
      <c r="J1484" s="33">
        <f t="shared" si="45"/>
        <v>154.44015444015446</v>
      </c>
    </row>
    <row r="1485" spans="6:10" ht="15">
      <c r="F1485" s="30">
        <v>23</v>
      </c>
      <c r="G1485" s="30">
        <v>8</v>
      </c>
      <c r="H1485" s="30">
        <v>200</v>
      </c>
      <c r="I1485" s="30">
        <f t="shared" si="44"/>
        <v>7400</v>
      </c>
      <c r="J1485" s="33">
        <f t="shared" si="45"/>
        <v>135.13513513513513</v>
      </c>
    </row>
    <row r="1486" spans="6:10" ht="15">
      <c r="F1486" s="30">
        <v>23</v>
      </c>
      <c r="G1486" s="30">
        <v>9</v>
      </c>
      <c r="H1486" s="30">
        <v>225</v>
      </c>
      <c r="I1486" s="30">
        <f t="shared" si="44"/>
        <v>8325</v>
      </c>
      <c r="J1486" s="33">
        <f t="shared" si="45"/>
        <v>120.12012012012012</v>
      </c>
    </row>
    <row r="1487" spans="6:10" ht="15">
      <c r="F1487" s="30">
        <v>23</v>
      </c>
      <c r="G1487" s="30">
        <v>10</v>
      </c>
      <c r="H1487" s="30">
        <v>250</v>
      </c>
      <c r="I1487" s="30">
        <f t="shared" si="44"/>
        <v>9250</v>
      </c>
      <c r="J1487" s="33">
        <f t="shared" si="45"/>
        <v>108.10810810810811</v>
      </c>
    </row>
    <row r="1488" spans="6:10" ht="15">
      <c r="F1488" s="30">
        <v>23</v>
      </c>
      <c r="G1488" s="30">
        <v>11</v>
      </c>
      <c r="H1488" s="30">
        <v>275</v>
      </c>
      <c r="I1488" s="30">
        <f t="shared" si="44"/>
        <v>10175</v>
      </c>
      <c r="J1488" s="33">
        <f t="shared" si="45"/>
        <v>98.280098280098287</v>
      </c>
    </row>
    <row r="1489" spans="6:10" ht="15">
      <c r="F1489" s="30">
        <v>23</v>
      </c>
      <c r="G1489" s="30">
        <v>12</v>
      </c>
      <c r="H1489" s="30">
        <v>300</v>
      </c>
      <c r="I1489" s="30">
        <f t="shared" si="44"/>
        <v>11100</v>
      </c>
      <c r="J1489" s="33">
        <f t="shared" si="45"/>
        <v>90.090090090090087</v>
      </c>
    </row>
    <row r="1490" spans="6:10" ht="15">
      <c r="F1490" s="30">
        <v>23</v>
      </c>
      <c r="G1490" s="30">
        <v>13</v>
      </c>
      <c r="H1490" s="30">
        <v>325</v>
      </c>
      <c r="I1490" s="30">
        <f t="shared" si="44"/>
        <v>12025</v>
      </c>
      <c r="J1490" s="33">
        <f t="shared" si="45"/>
        <v>83.160083160083161</v>
      </c>
    </row>
    <row r="1491" spans="6:10" ht="15">
      <c r="F1491" s="30">
        <v>23</v>
      </c>
      <c r="G1491" s="30">
        <v>14</v>
      </c>
      <c r="H1491" s="30">
        <v>350</v>
      </c>
      <c r="I1491" s="30">
        <f t="shared" si="44"/>
        <v>12950</v>
      </c>
      <c r="J1491" s="33">
        <f t="shared" si="45"/>
        <v>77.220077220077229</v>
      </c>
    </row>
    <row r="1492" spans="6:10" ht="15">
      <c r="F1492" s="30">
        <v>23</v>
      </c>
      <c r="G1492" s="30">
        <v>15</v>
      </c>
      <c r="H1492" s="30">
        <v>375</v>
      </c>
      <c r="I1492" s="30">
        <f t="shared" si="44"/>
        <v>13875</v>
      </c>
      <c r="J1492" s="33">
        <f t="shared" si="45"/>
        <v>72.072072072072075</v>
      </c>
    </row>
    <row r="1493" spans="6:10" ht="15">
      <c r="F1493" s="30">
        <v>23</v>
      </c>
      <c r="G1493" s="30">
        <v>16</v>
      </c>
      <c r="H1493" s="30">
        <v>400</v>
      </c>
      <c r="I1493" s="30">
        <f t="shared" si="44"/>
        <v>14800</v>
      </c>
      <c r="J1493" s="33">
        <f t="shared" si="45"/>
        <v>67.567567567567565</v>
      </c>
    </row>
    <row r="1494" spans="6:10" ht="15">
      <c r="F1494" s="30">
        <v>23</v>
      </c>
      <c r="G1494" s="30">
        <v>17</v>
      </c>
      <c r="H1494" s="30">
        <v>425</v>
      </c>
      <c r="I1494" s="30">
        <f t="shared" si="44"/>
        <v>15725</v>
      </c>
      <c r="J1494" s="33">
        <f t="shared" si="45"/>
        <v>63.593004769475357</v>
      </c>
    </row>
    <row r="1495" spans="6:10" ht="15">
      <c r="F1495" s="30">
        <v>23</v>
      </c>
      <c r="G1495" s="30">
        <v>18</v>
      </c>
      <c r="H1495" s="30">
        <v>450</v>
      </c>
      <c r="I1495" s="30">
        <f t="shared" si="44"/>
        <v>16650</v>
      </c>
      <c r="J1495" s="33">
        <f t="shared" si="45"/>
        <v>60.06006006006006</v>
      </c>
    </row>
    <row r="1496" spans="6:10" ht="15">
      <c r="F1496" s="30">
        <v>23</v>
      </c>
      <c r="G1496" s="30">
        <v>19</v>
      </c>
      <c r="H1496" s="30">
        <v>475</v>
      </c>
      <c r="I1496" s="30">
        <f t="shared" si="44"/>
        <v>17575</v>
      </c>
      <c r="J1496" s="33">
        <f t="shared" si="45"/>
        <v>56.899004267425319</v>
      </c>
    </row>
    <row r="1497" spans="6:10" ht="15">
      <c r="F1497" s="30">
        <v>23</v>
      </c>
      <c r="G1497" s="30">
        <v>20</v>
      </c>
      <c r="H1497" s="30">
        <v>500</v>
      </c>
      <c r="I1497" s="30">
        <f t="shared" si="44"/>
        <v>18500</v>
      </c>
      <c r="J1497" s="33">
        <f t="shared" si="45"/>
        <v>54.054054054054056</v>
      </c>
    </row>
    <row r="1498" spans="6:10" ht="15">
      <c r="F1498" s="30">
        <v>23</v>
      </c>
      <c r="G1498" s="30">
        <v>21</v>
      </c>
      <c r="H1498" s="30">
        <v>525</v>
      </c>
      <c r="I1498" s="30">
        <f t="shared" si="44"/>
        <v>19425</v>
      </c>
      <c r="J1498" s="33">
        <f t="shared" si="45"/>
        <v>51.480051480051479</v>
      </c>
    </row>
    <row r="1499" spans="6:10" ht="15">
      <c r="F1499" s="30">
        <v>23</v>
      </c>
      <c r="G1499" s="30">
        <v>22</v>
      </c>
      <c r="H1499" s="30">
        <v>550</v>
      </c>
      <c r="I1499" s="30">
        <f t="shared" si="44"/>
        <v>20350</v>
      </c>
      <c r="J1499" s="33">
        <f t="shared" si="45"/>
        <v>49.140049140049143</v>
      </c>
    </row>
    <row r="1500" spans="6:10" ht="15">
      <c r="F1500" s="30">
        <v>23</v>
      </c>
      <c r="G1500" s="30">
        <v>23</v>
      </c>
      <c r="H1500" s="30">
        <v>575</v>
      </c>
      <c r="I1500" s="30">
        <f t="shared" si="44"/>
        <v>21275</v>
      </c>
      <c r="J1500" s="33">
        <f t="shared" si="45"/>
        <v>47.003525264394831</v>
      </c>
    </row>
    <row r="1501" spans="6:10" ht="15">
      <c r="F1501" s="30">
        <v>23</v>
      </c>
      <c r="G1501" s="30">
        <v>24</v>
      </c>
      <c r="H1501" s="30">
        <v>600</v>
      </c>
      <c r="I1501" s="30">
        <f t="shared" si="44"/>
        <v>22200</v>
      </c>
      <c r="J1501" s="33">
        <f t="shared" si="45"/>
        <v>45.045045045045043</v>
      </c>
    </row>
    <row r="1502" spans="6:10" ht="15">
      <c r="F1502" s="30">
        <v>23</v>
      </c>
      <c r="G1502" s="30">
        <v>25</v>
      </c>
      <c r="H1502" s="30">
        <v>625</v>
      </c>
      <c r="I1502" s="30">
        <f t="shared" si="44"/>
        <v>23125</v>
      </c>
      <c r="J1502" s="33">
        <f t="shared" si="45"/>
        <v>43.243243243243242</v>
      </c>
    </row>
    <row r="1503" spans="6:10" ht="15">
      <c r="F1503" s="30">
        <v>23</v>
      </c>
      <c r="G1503" s="30">
        <v>26</v>
      </c>
      <c r="H1503" s="30">
        <v>650</v>
      </c>
      <c r="I1503" s="30">
        <f t="shared" si="44"/>
        <v>24050</v>
      </c>
      <c r="J1503" s="33">
        <f t="shared" si="45"/>
        <v>41.580041580041581</v>
      </c>
    </row>
    <row r="1504" spans="6:10" ht="15">
      <c r="F1504" s="30">
        <v>23</v>
      </c>
      <c r="G1504" s="30">
        <v>27</v>
      </c>
      <c r="H1504" s="30">
        <v>675</v>
      </c>
      <c r="I1504" s="30">
        <f t="shared" si="44"/>
        <v>24975</v>
      </c>
      <c r="J1504" s="33">
        <f t="shared" si="45"/>
        <v>40.04004004004004</v>
      </c>
    </row>
    <row r="1505" spans="6:10" ht="15">
      <c r="F1505" s="30">
        <v>23</v>
      </c>
      <c r="G1505" s="30">
        <v>28</v>
      </c>
      <c r="H1505" s="30">
        <v>700</v>
      </c>
      <c r="I1505" s="30">
        <f t="shared" si="44"/>
        <v>25900</v>
      </c>
      <c r="J1505" s="33">
        <f t="shared" si="45"/>
        <v>38.610038610038615</v>
      </c>
    </row>
    <row r="1506" spans="6:10" ht="15">
      <c r="F1506" s="30">
        <v>23</v>
      </c>
      <c r="G1506" s="30">
        <v>29</v>
      </c>
      <c r="H1506" s="30">
        <v>725</v>
      </c>
      <c r="I1506" s="30">
        <f t="shared" si="44"/>
        <v>26825</v>
      </c>
      <c r="J1506" s="33">
        <f t="shared" si="45"/>
        <v>37.278657968313141</v>
      </c>
    </row>
    <row r="1507" spans="6:10" ht="15">
      <c r="F1507" s="30">
        <v>23</v>
      </c>
      <c r="G1507" s="30">
        <v>30</v>
      </c>
      <c r="H1507" s="30">
        <v>750</v>
      </c>
      <c r="I1507" s="30">
        <f t="shared" si="44"/>
        <v>27750</v>
      </c>
      <c r="J1507" s="33">
        <f t="shared" si="45"/>
        <v>36.036036036036037</v>
      </c>
    </row>
    <row r="1508" spans="6:10" ht="15">
      <c r="F1508" s="30">
        <v>23</v>
      </c>
      <c r="G1508" s="30">
        <v>31</v>
      </c>
      <c r="H1508" s="30">
        <v>775</v>
      </c>
      <c r="I1508" s="30">
        <f t="shared" si="44"/>
        <v>28675</v>
      </c>
      <c r="J1508" s="33">
        <f t="shared" si="45"/>
        <v>34.873583260680029</v>
      </c>
    </row>
    <row r="1509" spans="6:10" ht="15">
      <c r="F1509" s="30">
        <v>23</v>
      </c>
      <c r="G1509" s="30">
        <v>32</v>
      </c>
      <c r="H1509" s="30">
        <v>800</v>
      </c>
      <c r="I1509" s="30">
        <f t="shared" si="44"/>
        <v>29600</v>
      </c>
      <c r="J1509" s="33">
        <f t="shared" si="45"/>
        <v>33.783783783783782</v>
      </c>
    </row>
    <row r="1510" spans="6:10" ht="15">
      <c r="F1510" s="30">
        <v>23</v>
      </c>
      <c r="G1510" s="30">
        <v>33</v>
      </c>
      <c r="H1510" s="30">
        <v>825</v>
      </c>
      <c r="I1510" s="30">
        <f t="shared" si="44"/>
        <v>30525</v>
      </c>
      <c r="J1510" s="33">
        <f t="shared" si="45"/>
        <v>32.760032760032765</v>
      </c>
    </row>
    <row r="1511" spans="6:10" ht="15">
      <c r="F1511" s="30">
        <v>23</v>
      </c>
      <c r="G1511" s="30">
        <v>34</v>
      </c>
      <c r="H1511" s="30">
        <v>850</v>
      </c>
      <c r="I1511" s="30">
        <f t="shared" si="44"/>
        <v>31450</v>
      </c>
      <c r="J1511" s="33">
        <f t="shared" si="45"/>
        <v>31.796502384737678</v>
      </c>
    </row>
    <row r="1512" spans="6:10" ht="15">
      <c r="F1512" s="30">
        <v>23</v>
      </c>
      <c r="G1512" s="30">
        <v>35</v>
      </c>
      <c r="H1512" s="30">
        <v>875</v>
      </c>
      <c r="I1512" s="30">
        <f t="shared" si="44"/>
        <v>32375</v>
      </c>
      <c r="J1512" s="33">
        <f t="shared" si="45"/>
        <v>30.88803088803089</v>
      </c>
    </row>
    <row r="1513" spans="6:10" ht="15">
      <c r="F1513" s="30">
        <v>23</v>
      </c>
      <c r="G1513" s="30">
        <v>36</v>
      </c>
      <c r="H1513" s="30">
        <v>900</v>
      </c>
      <c r="I1513" s="30">
        <f t="shared" si="44"/>
        <v>33300</v>
      </c>
      <c r="J1513" s="33">
        <f t="shared" si="45"/>
        <v>30.03003003003003</v>
      </c>
    </row>
    <row r="1514" spans="6:10" ht="15">
      <c r="F1514" s="30">
        <v>23</v>
      </c>
      <c r="G1514" s="30">
        <v>37</v>
      </c>
      <c r="H1514" s="30">
        <v>925</v>
      </c>
      <c r="I1514" s="30">
        <f t="shared" si="44"/>
        <v>34225</v>
      </c>
      <c r="J1514" s="33">
        <f t="shared" si="45"/>
        <v>29.218407596785973</v>
      </c>
    </row>
    <row r="1515" spans="6:10" ht="15">
      <c r="F1515" s="30">
        <v>23</v>
      </c>
      <c r="G1515" s="30">
        <v>38</v>
      </c>
      <c r="H1515" s="30">
        <v>950</v>
      </c>
      <c r="I1515" s="30">
        <f t="shared" si="44"/>
        <v>35150</v>
      </c>
      <c r="J1515" s="33">
        <f t="shared" si="45"/>
        <v>28.449502133712659</v>
      </c>
    </row>
    <row r="1516" spans="6:10" ht="15">
      <c r="F1516" s="30">
        <v>23</v>
      </c>
      <c r="G1516" s="30">
        <v>39</v>
      </c>
      <c r="H1516" s="30">
        <v>975</v>
      </c>
      <c r="I1516" s="30">
        <f t="shared" si="44"/>
        <v>36075</v>
      </c>
      <c r="J1516" s="33">
        <f t="shared" si="45"/>
        <v>27.720027720027719</v>
      </c>
    </row>
    <row r="1517" spans="6:10" ht="15">
      <c r="F1517" s="30">
        <v>23</v>
      </c>
      <c r="G1517" s="30">
        <v>40</v>
      </c>
      <c r="H1517" s="30">
        <v>1000</v>
      </c>
      <c r="I1517" s="30">
        <f t="shared" si="44"/>
        <v>37000</v>
      </c>
      <c r="J1517" s="33">
        <f t="shared" si="45"/>
        <v>27.027027027027028</v>
      </c>
    </row>
    <row r="1518" spans="6:10" ht="15">
      <c r="F1518" s="30">
        <v>23</v>
      </c>
      <c r="G1518" s="30">
        <v>41</v>
      </c>
      <c r="H1518" s="30">
        <v>1025</v>
      </c>
      <c r="I1518" s="30">
        <f t="shared" si="44"/>
        <v>37925</v>
      </c>
      <c r="J1518" s="33">
        <f t="shared" si="45"/>
        <v>26.367831245880026</v>
      </c>
    </row>
    <row r="1519" spans="6:10" ht="15">
      <c r="F1519" s="30">
        <v>23</v>
      </c>
      <c r="G1519" s="30">
        <v>42</v>
      </c>
      <c r="H1519" s="30">
        <v>1050</v>
      </c>
      <c r="I1519" s="30">
        <f t="shared" si="44"/>
        <v>38850</v>
      </c>
      <c r="J1519" s="33">
        <f t="shared" si="45"/>
        <v>25.74002574002574</v>
      </c>
    </row>
    <row r="1520" spans="6:10" ht="15">
      <c r="F1520" s="30">
        <v>23</v>
      </c>
      <c r="G1520" s="30">
        <v>43</v>
      </c>
      <c r="H1520" s="30">
        <v>1075</v>
      </c>
      <c r="I1520" s="30">
        <f t="shared" si="44"/>
        <v>39775</v>
      </c>
      <c r="J1520" s="33">
        <f t="shared" si="45"/>
        <v>25.141420490257701</v>
      </c>
    </row>
    <row r="1521" spans="6:10" ht="15">
      <c r="F1521" s="30">
        <v>23</v>
      </c>
      <c r="G1521" s="30">
        <v>44</v>
      </c>
      <c r="H1521" s="30">
        <v>1100</v>
      </c>
      <c r="I1521" s="30">
        <f t="shared" si="44"/>
        <v>40700</v>
      </c>
      <c r="J1521" s="33">
        <f t="shared" si="45"/>
        <v>24.570024570024572</v>
      </c>
    </row>
    <row r="1522" spans="6:10" ht="15">
      <c r="F1522" s="30">
        <v>23</v>
      </c>
      <c r="G1522" s="30">
        <v>45</v>
      </c>
      <c r="H1522" s="30">
        <v>1125</v>
      </c>
      <c r="I1522" s="30">
        <f t="shared" si="44"/>
        <v>41625</v>
      </c>
      <c r="J1522" s="33">
        <f t="shared" si="45"/>
        <v>24.024024024024023</v>
      </c>
    </row>
    <row r="1523" spans="6:10" ht="15">
      <c r="F1523" s="30">
        <v>23</v>
      </c>
      <c r="G1523" s="30">
        <v>46</v>
      </c>
      <c r="H1523" s="30">
        <v>1150</v>
      </c>
      <c r="I1523" s="30">
        <f t="shared" si="44"/>
        <v>42550</v>
      </c>
      <c r="J1523" s="33">
        <f t="shared" si="45"/>
        <v>23.501762632197416</v>
      </c>
    </row>
    <row r="1524" spans="6:10" ht="15">
      <c r="F1524" s="30">
        <v>23</v>
      </c>
      <c r="G1524" s="30">
        <v>47</v>
      </c>
      <c r="H1524" s="30">
        <v>1175</v>
      </c>
      <c r="I1524" s="30">
        <f t="shared" si="44"/>
        <v>43475</v>
      </c>
      <c r="J1524" s="33">
        <f t="shared" si="45"/>
        <v>23.001725129384706</v>
      </c>
    </row>
    <row r="1525" spans="6:10" ht="15">
      <c r="F1525" s="30">
        <v>23</v>
      </c>
      <c r="G1525" s="30">
        <v>48</v>
      </c>
      <c r="H1525" s="30">
        <v>1200</v>
      </c>
      <c r="I1525" s="30">
        <f t="shared" si="44"/>
        <v>44400</v>
      </c>
      <c r="J1525" s="33">
        <f t="shared" si="45"/>
        <v>22.522522522522522</v>
      </c>
    </row>
    <row r="1526" spans="6:10" ht="15">
      <c r="F1526" s="30">
        <v>23</v>
      </c>
      <c r="G1526" s="30">
        <v>49</v>
      </c>
      <c r="H1526" s="30">
        <v>1225</v>
      </c>
      <c r="I1526" s="30">
        <f t="shared" si="44"/>
        <v>45325</v>
      </c>
      <c r="J1526" s="33">
        <f t="shared" si="45"/>
        <v>22.062879205736348</v>
      </c>
    </row>
    <row r="1527" spans="6:10" ht="15">
      <c r="F1527" s="30">
        <v>23</v>
      </c>
      <c r="G1527" s="30">
        <v>50</v>
      </c>
      <c r="H1527" s="30">
        <v>1250</v>
      </c>
      <c r="I1527" s="30">
        <f t="shared" si="44"/>
        <v>46250</v>
      </c>
      <c r="J1527" s="33">
        <f t="shared" si="45"/>
        <v>21.621621621621621</v>
      </c>
    </row>
    <row r="1528" spans="6:10" ht="15">
      <c r="F1528" s="30">
        <v>23</v>
      </c>
      <c r="G1528" s="30">
        <v>51</v>
      </c>
      <c r="H1528" s="30">
        <v>1275</v>
      </c>
      <c r="I1528" s="30">
        <f t="shared" si="44"/>
        <v>47175</v>
      </c>
      <c r="J1528" s="33">
        <f t="shared" si="45"/>
        <v>21.197668256491784</v>
      </c>
    </row>
    <row r="1529" spans="6:10" ht="15">
      <c r="F1529" s="30">
        <v>23</v>
      </c>
      <c r="G1529" s="30">
        <v>52</v>
      </c>
      <c r="H1529" s="30">
        <v>1300</v>
      </c>
      <c r="I1529" s="30">
        <f t="shared" si="44"/>
        <v>48100</v>
      </c>
      <c r="J1529" s="33">
        <f t="shared" si="45"/>
        <v>20.79002079002079</v>
      </c>
    </row>
    <row r="1530" spans="6:10" ht="15">
      <c r="F1530" s="30">
        <v>23</v>
      </c>
      <c r="G1530" s="30">
        <v>53</v>
      </c>
      <c r="H1530" s="30">
        <v>1325</v>
      </c>
      <c r="I1530" s="30">
        <f t="shared" si="44"/>
        <v>49025</v>
      </c>
      <c r="J1530" s="33">
        <f t="shared" si="45"/>
        <v>20.39775624681285</v>
      </c>
    </row>
    <row r="1531" spans="6:10" ht="15">
      <c r="F1531" s="30">
        <v>23</v>
      </c>
      <c r="G1531" s="30">
        <v>54</v>
      </c>
      <c r="H1531" s="30">
        <v>1350</v>
      </c>
      <c r="I1531" s="30">
        <f t="shared" si="44"/>
        <v>49950</v>
      </c>
      <c r="J1531" s="33">
        <f t="shared" si="45"/>
        <v>20.02002002002002</v>
      </c>
    </row>
    <row r="1532" spans="6:10" ht="15">
      <c r="F1532" s="30">
        <v>23</v>
      </c>
      <c r="G1532" s="30">
        <v>55</v>
      </c>
      <c r="H1532" s="30">
        <v>1375</v>
      </c>
      <c r="I1532" s="30">
        <f t="shared" si="44"/>
        <v>50875</v>
      </c>
      <c r="J1532" s="33">
        <f t="shared" si="45"/>
        <v>19.656019656019655</v>
      </c>
    </row>
    <row r="1533" spans="6:10" ht="15">
      <c r="F1533" s="30">
        <v>23</v>
      </c>
      <c r="G1533" s="30">
        <v>56</v>
      </c>
      <c r="H1533" s="30">
        <v>1400</v>
      </c>
      <c r="I1533" s="30">
        <f t="shared" si="44"/>
        <v>51800</v>
      </c>
      <c r="J1533" s="33">
        <f t="shared" si="45"/>
        <v>19.305019305019307</v>
      </c>
    </row>
    <row r="1534" spans="6:10" ht="15">
      <c r="F1534" s="30">
        <v>23</v>
      </c>
      <c r="G1534" s="30">
        <v>57</v>
      </c>
      <c r="H1534" s="30">
        <v>1425</v>
      </c>
      <c r="I1534" s="30">
        <f t="shared" si="44"/>
        <v>52725</v>
      </c>
      <c r="J1534" s="33">
        <f t="shared" si="45"/>
        <v>18.96633475580844</v>
      </c>
    </row>
    <row r="1535" spans="6:10" ht="15">
      <c r="F1535" s="30">
        <v>23</v>
      </c>
      <c r="G1535" s="30">
        <v>58</v>
      </c>
      <c r="H1535" s="30">
        <v>1450</v>
      </c>
      <c r="I1535" s="30">
        <f t="shared" si="44"/>
        <v>53650</v>
      </c>
      <c r="J1535" s="33">
        <f t="shared" si="45"/>
        <v>18.63932898415657</v>
      </c>
    </row>
    <row r="1536" spans="6:10" ht="15">
      <c r="F1536" s="30">
        <v>23</v>
      </c>
      <c r="G1536" s="30">
        <v>59</v>
      </c>
      <c r="H1536" s="30">
        <v>1475</v>
      </c>
      <c r="I1536" s="30">
        <f t="shared" si="44"/>
        <v>54575</v>
      </c>
      <c r="J1536" s="33">
        <f t="shared" si="45"/>
        <v>18.323408153916628</v>
      </c>
    </row>
    <row r="1537" spans="6:10" ht="15">
      <c r="F1537" s="30">
        <v>23</v>
      </c>
      <c r="G1537" s="30">
        <v>60</v>
      </c>
      <c r="H1537" s="30">
        <v>1500</v>
      </c>
      <c r="I1537" s="30">
        <f t="shared" si="44"/>
        <v>55500</v>
      </c>
      <c r="J1537" s="33">
        <f t="shared" si="45"/>
        <v>18.018018018018019</v>
      </c>
    </row>
    <row r="1538" spans="6:10" ht="15">
      <c r="F1538" s="30">
        <v>23</v>
      </c>
      <c r="G1538" s="30">
        <v>61</v>
      </c>
      <c r="H1538" s="30">
        <v>1525</v>
      </c>
      <c r="I1538" s="30">
        <f t="shared" si="44"/>
        <v>56425</v>
      </c>
      <c r="J1538" s="33">
        <f t="shared" si="45"/>
        <v>17.722640673460347</v>
      </c>
    </row>
    <row r="1539" spans="6:10" ht="15">
      <c r="F1539" s="30">
        <v>23</v>
      </c>
      <c r="G1539" s="30">
        <v>62</v>
      </c>
      <c r="H1539" s="30">
        <v>1550</v>
      </c>
      <c r="I1539" s="30">
        <f t="shared" si="44"/>
        <v>57350</v>
      </c>
      <c r="J1539" s="33">
        <f t="shared" si="45"/>
        <v>17.436791630340014</v>
      </c>
    </row>
    <row r="1540" spans="6:10" ht="15">
      <c r="F1540" s="30">
        <v>23</v>
      </c>
      <c r="G1540" s="30">
        <v>63</v>
      </c>
      <c r="H1540" s="30">
        <v>1575</v>
      </c>
      <c r="I1540" s="30">
        <f t="shared" si="44"/>
        <v>58275</v>
      </c>
      <c r="J1540" s="33">
        <f t="shared" si="45"/>
        <v>17.160017160017158</v>
      </c>
    </row>
    <row r="1541" spans="6:10" ht="15">
      <c r="F1541" s="30">
        <v>23</v>
      </c>
      <c r="G1541" s="30">
        <v>64</v>
      </c>
      <c r="H1541" s="30">
        <v>1600</v>
      </c>
      <c r="I1541" s="30">
        <f t="shared" si="44"/>
        <v>59200</v>
      </c>
      <c r="J1541" s="33">
        <f t="shared" si="45"/>
        <v>16.891891891891891</v>
      </c>
    </row>
    <row r="1542" spans="6:10" ht="15">
      <c r="F1542" s="30">
        <v>24</v>
      </c>
      <c r="G1542" s="30">
        <v>1</v>
      </c>
      <c r="H1542" s="30">
        <v>25</v>
      </c>
      <c r="I1542" s="30">
        <f t="shared" si="44"/>
        <v>950</v>
      </c>
      <c r="J1542" s="33">
        <f t="shared" si="45"/>
        <v>1052.6315789473683</v>
      </c>
    </row>
    <row r="1543" spans="6:10" ht="15">
      <c r="F1543" s="30">
        <v>24</v>
      </c>
      <c r="G1543" s="30">
        <v>2</v>
      </c>
      <c r="H1543" s="30">
        <v>50</v>
      </c>
      <c r="I1543" s="30">
        <f t="shared" ref="I1543:I1606" si="46">(14+F1543)*H1543</f>
        <v>1900</v>
      </c>
      <c r="J1543" s="33">
        <f t="shared" ref="J1543:J1606" si="47">(1/I1543)*1000000</f>
        <v>526.31578947368416</v>
      </c>
    </row>
    <row r="1544" spans="6:10" ht="15">
      <c r="F1544" s="30">
        <v>24</v>
      </c>
      <c r="G1544" s="30">
        <v>3</v>
      </c>
      <c r="H1544" s="30">
        <v>75</v>
      </c>
      <c r="I1544" s="30">
        <f t="shared" si="46"/>
        <v>2850</v>
      </c>
      <c r="J1544" s="33">
        <f t="shared" si="47"/>
        <v>350.87719298245611</v>
      </c>
    </row>
    <row r="1545" spans="6:10" ht="15">
      <c r="F1545" s="30">
        <v>24</v>
      </c>
      <c r="G1545" s="30">
        <v>4</v>
      </c>
      <c r="H1545" s="30">
        <v>100</v>
      </c>
      <c r="I1545" s="30">
        <f t="shared" si="46"/>
        <v>3800</v>
      </c>
      <c r="J1545" s="33">
        <f t="shared" si="47"/>
        <v>263.15789473684208</v>
      </c>
    </row>
    <row r="1546" spans="6:10" ht="15">
      <c r="F1546" s="30">
        <v>24</v>
      </c>
      <c r="G1546" s="30">
        <v>5</v>
      </c>
      <c r="H1546" s="30">
        <v>125</v>
      </c>
      <c r="I1546" s="30">
        <f t="shared" si="46"/>
        <v>4750</v>
      </c>
      <c r="J1546" s="33">
        <f t="shared" si="47"/>
        <v>210.5263157894737</v>
      </c>
    </row>
    <row r="1547" spans="6:10" ht="15">
      <c r="F1547" s="30">
        <v>24</v>
      </c>
      <c r="G1547" s="30">
        <v>6</v>
      </c>
      <c r="H1547" s="30">
        <v>150</v>
      </c>
      <c r="I1547" s="30">
        <f t="shared" si="46"/>
        <v>5700</v>
      </c>
      <c r="J1547" s="33">
        <f t="shared" si="47"/>
        <v>175.43859649122805</v>
      </c>
    </row>
    <row r="1548" spans="6:10" ht="15">
      <c r="F1548" s="30">
        <v>24</v>
      </c>
      <c r="G1548" s="30">
        <v>7</v>
      </c>
      <c r="H1548" s="30">
        <v>175</v>
      </c>
      <c r="I1548" s="30">
        <f t="shared" si="46"/>
        <v>6650</v>
      </c>
      <c r="J1548" s="33">
        <f t="shared" si="47"/>
        <v>150.37593984962405</v>
      </c>
    </row>
    <row r="1549" spans="6:10" ht="15">
      <c r="F1549" s="30">
        <v>24</v>
      </c>
      <c r="G1549" s="30">
        <v>8</v>
      </c>
      <c r="H1549" s="30">
        <v>200</v>
      </c>
      <c r="I1549" s="30">
        <f t="shared" si="46"/>
        <v>7600</v>
      </c>
      <c r="J1549" s="33">
        <f t="shared" si="47"/>
        <v>131.57894736842104</v>
      </c>
    </row>
    <row r="1550" spans="6:10" ht="15">
      <c r="F1550" s="30">
        <v>24</v>
      </c>
      <c r="G1550" s="30">
        <v>9</v>
      </c>
      <c r="H1550" s="30">
        <v>225</v>
      </c>
      <c r="I1550" s="30">
        <f t="shared" si="46"/>
        <v>8550</v>
      </c>
      <c r="J1550" s="33">
        <f t="shared" si="47"/>
        <v>116.95906432748538</v>
      </c>
    </row>
    <row r="1551" spans="6:10" ht="15">
      <c r="F1551" s="30">
        <v>24</v>
      </c>
      <c r="G1551" s="30">
        <v>10</v>
      </c>
      <c r="H1551" s="30">
        <v>250</v>
      </c>
      <c r="I1551" s="30">
        <f t="shared" si="46"/>
        <v>9500</v>
      </c>
      <c r="J1551" s="33">
        <f t="shared" si="47"/>
        <v>105.26315789473685</v>
      </c>
    </row>
    <row r="1552" spans="6:10" ht="15">
      <c r="F1552" s="30">
        <v>24</v>
      </c>
      <c r="G1552" s="30">
        <v>11</v>
      </c>
      <c r="H1552" s="30">
        <v>275</v>
      </c>
      <c r="I1552" s="30">
        <f t="shared" si="46"/>
        <v>10450</v>
      </c>
      <c r="J1552" s="33">
        <f t="shared" si="47"/>
        <v>95.693779904306226</v>
      </c>
    </row>
    <row r="1553" spans="6:10" ht="15">
      <c r="F1553" s="30">
        <v>24</v>
      </c>
      <c r="G1553" s="30">
        <v>12</v>
      </c>
      <c r="H1553" s="30">
        <v>300</v>
      </c>
      <c r="I1553" s="30">
        <f t="shared" si="46"/>
        <v>11400</v>
      </c>
      <c r="J1553" s="33">
        <f t="shared" si="47"/>
        <v>87.719298245614027</v>
      </c>
    </row>
    <row r="1554" spans="6:10" ht="15">
      <c r="F1554" s="30">
        <v>24</v>
      </c>
      <c r="G1554" s="30">
        <v>13</v>
      </c>
      <c r="H1554" s="30">
        <v>325</v>
      </c>
      <c r="I1554" s="30">
        <f t="shared" si="46"/>
        <v>12350</v>
      </c>
      <c r="J1554" s="33">
        <f t="shared" si="47"/>
        <v>80.97165991902834</v>
      </c>
    </row>
    <row r="1555" spans="6:10" ht="15">
      <c r="F1555" s="30">
        <v>24</v>
      </c>
      <c r="G1555" s="30">
        <v>14</v>
      </c>
      <c r="H1555" s="30">
        <v>350</v>
      </c>
      <c r="I1555" s="30">
        <f t="shared" si="46"/>
        <v>13300</v>
      </c>
      <c r="J1555" s="33">
        <f t="shared" si="47"/>
        <v>75.187969924812023</v>
      </c>
    </row>
    <row r="1556" spans="6:10" ht="15">
      <c r="F1556" s="30">
        <v>24</v>
      </c>
      <c r="G1556" s="30">
        <v>15</v>
      </c>
      <c r="H1556" s="30">
        <v>375</v>
      </c>
      <c r="I1556" s="30">
        <f t="shared" si="46"/>
        <v>14250</v>
      </c>
      <c r="J1556" s="33">
        <f t="shared" si="47"/>
        <v>70.175438596491219</v>
      </c>
    </row>
    <row r="1557" spans="6:10" ht="15">
      <c r="F1557" s="30">
        <v>24</v>
      </c>
      <c r="G1557" s="30">
        <v>16</v>
      </c>
      <c r="H1557" s="30">
        <v>400</v>
      </c>
      <c r="I1557" s="30">
        <f t="shared" si="46"/>
        <v>15200</v>
      </c>
      <c r="J1557" s="33">
        <f t="shared" si="47"/>
        <v>65.78947368421052</v>
      </c>
    </row>
    <row r="1558" spans="6:10" ht="15">
      <c r="F1558" s="30">
        <v>24</v>
      </c>
      <c r="G1558" s="30">
        <v>17</v>
      </c>
      <c r="H1558" s="30">
        <v>425</v>
      </c>
      <c r="I1558" s="30">
        <f t="shared" si="46"/>
        <v>16150</v>
      </c>
      <c r="J1558" s="33">
        <f t="shared" si="47"/>
        <v>61.919504643962853</v>
      </c>
    </row>
    <row r="1559" spans="6:10" ht="15">
      <c r="F1559" s="30">
        <v>24</v>
      </c>
      <c r="G1559" s="30">
        <v>18</v>
      </c>
      <c r="H1559" s="30">
        <v>450</v>
      </c>
      <c r="I1559" s="30">
        <f t="shared" si="46"/>
        <v>17100</v>
      </c>
      <c r="J1559" s="33">
        <f t="shared" si="47"/>
        <v>58.479532163742689</v>
      </c>
    </row>
    <row r="1560" spans="6:10" ht="15">
      <c r="F1560" s="30">
        <v>24</v>
      </c>
      <c r="G1560" s="30">
        <v>19</v>
      </c>
      <c r="H1560" s="30">
        <v>475</v>
      </c>
      <c r="I1560" s="30">
        <f t="shared" si="46"/>
        <v>18050</v>
      </c>
      <c r="J1560" s="33">
        <f t="shared" si="47"/>
        <v>55.401662049861493</v>
      </c>
    </row>
    <row r="1561" spans="6:10" ht="15">
      <c r="F1561" s="30">
        <v>24</v>
      </c>
      <c r="G1561" s="30">
        <v>20</v>
      </c>
      <c r="H1561" s="30">
        <v>500</v>
      </c>
      <c r="I1561" s="30">
        <f t="shared" si="46"/>
        <v>19000</v>
      </c>
      <c r="J1561" s="33">
        <f t="shared" si="47"/>
        <v>52.631578947368425</v>
      </c>
    </row>
    <row r="1562" spans="6:10" ht="15">
      <c r="F1562" s="30">
        <v>24</v>
      </c>
      <c r="G1562" s="30">
        <v>21</v>
      </c>
      <c r="H1562" s="30">
        <v>525</v>
      </c>
      <c r="I1562" s="30">
        <f t="shared" si="46"/>
        <v>19950</v>
      </c>
      <c r="J1562" s="33">
        <f t="shared" si="47"/>
        <v>50.125313283208023</v>
      </c>
    </row>
    <row r="1563" spans="6:10" ht="15">
      <c r="F1563" s="30">
        <v>24</v>
      </c>
      <c r="G1563" s="30">
        <v>22</v>
      </c>
      <c r="H1563" s="30">
        <v>550</v>
      </c>
      <c r="I1563" s="30">
        <f t="shared" si="46"/>
        <v>20900</v>
      </c>
      <c r="J1563" s="33">
        <f t="shared" si="47"/>
        <v>47.846889952153113</v>
      </c>
    </row>
    <row r="1564" spans="6:10" ht="15">
      <c r="F1564" s="30">
        <v>24</v>
      </c>
      <c r="G1564" s="30">
        <v>23</v>
      </c>
      <c r="H1564" s="30">
        <v>575</v>
      </c>
      <c r="I1564" s="30">
        <f t="shared" si="46"/>
        <v>21850</v>
      </c>
      <c r="J1564" s="33">
        <f t="shared" si="47"/>
        <v>45.766590389016017</v>
      </c>
    </row>
    <row r="1565" spans="6:10" ht="15">
      <c r="F1565" s="30">
        <v>24</v>
      </c>
      <c r="G1565" s="30">
        <v>24</v>
      </c>
      <c r="H1565" s="30">
        <v>600</v>
      </c>
      <c r="I1565" s="30">
        <f t="shared" si="46"/>
        <v>22800</v>
      </c>
      <c r="J1565" s="33">
        <f t="shared" si="47"/>
        <v>43.859649122807014</v>
      </c>
    </row>
    <row r="1566" spans="6:10" ht="15">
      <c r="F1566" s="30">
        <v>24</v>
      </c>
      <c r="G1566" s="30">
        <v>25</v>
      </c>
      <c r="H1566" s="30">
        <v>625</v>
      </c>
      <c r="I1566" s="30">
        <f t="shared" si="46"/>
        <v>23750</v>
      </c>
      <c r="J1566" s="33">
        <f t="shared" si="47"/>
        <v>42.10526315789474</v>
      </c>
    </row>
    <row r="1567" spans="6:10" ht="15">
      <c r="F1567" s="30">
        <v>24</v>
      </c>
      <c r="G1567" s="30">
        <v>26</v>
      </c>
      <c r="H1567" s="30">
        <v>650</v>
      </c>
      <c r="I1567" s="30">
        <f t="shared" si="46"/>
        <v>24700</v>
      </c>
      <c r="J1567" s="33">
        <f t="shared" si="47"/>
        <v>40.48582995951417</v>
      </c>
    </row>
    <row r="1568" spans="6:10" ht="15">
      <c r="F1568" s="30">
        <v>24</v>
      </c>
      <c r="G1568" s="30">
        <v>27</v>
      </c>
      <c r="H1568" s="30">
        <v>675</v>
      </c>
      <c r="I1568" s="30">
        <f t="shared" si="46"/>
        <v>25650</v>
      </c>
      <c r="J1568" s="33">
        <f t="shared" si="47"/>
        <v>38.98635477582846</v>
      </c>
    </row>
    <row r="1569" spans="6:10" ht="15">
      <c r="F1569" s="30">
        <v>24</v>
      </c>
      <c r="G1569" s="30">
        <v>28</v>
      </c>
      <c r="H1569" s="30">
        <v>700</v>
      </c>
      <c r="I1569" s="30">
        <f t="shared" si="46"/>
        <v>26600</v>
      </c>
      <c r="J1569" s="33">
        <f t="shared" si="47"/>
        <v>37.593984962406012</v>
      </c>
    </row>
    <row r="1570" spans="6:10" ht="15">
      <c r="F1570" s="30">
        <v>24</v>
      </c>
      <c r="G1570" s="30">
        <v>29</v>
      </c>
      <c r="H1570" s="30">
        <v>725</v>
      </c>
      <c r="I1570" s="30">
        <f t="shared" si="46"/>
        <v>27550</v>
      </c>
      <c r="J1570" s="33">
        <f t="shared" si="47"/>
        <v>36.297640653357533</v>
      </c>
    </row>
    <row r="1571" spans="6:10" ht="15">
      <c r="F1571" s="30">
        <v>24</v>
      </c>
      <c r="G1571" s="30">
        <v>30</v>
      </c>
      <c r="H1571" s="30">
        <v>750</v>
      </c>
      <c r="I1571" s="30">
        <f t="shared" si="46"/>
        <v>28500</v>
      </c>
      <c r="J1571" s="33">
        <f t="shared" si="47"/>
        <v>35.087719298245609</v>
      </c>
    </row>
    <row r="1572" spans="6:10" ht="15">
      <c r="F1572" s="30">
        <v>24</v>
      </c>
      <c r="G1572" s="30">
        <v>31</v>
      </c>
      <c r="H1572" s="30">
        <v>775</v>
      </c>
      <c r="I1572" s="30">
        <f t="shared" si="46"/>
        <v>29450</v>
      </c>
      <c r="J1572" s="33">
        <f t="shared" si="47"/>
        <v>33.955857385398978</v>
      </c>
    </row>
    <row r="1573" spans="6:10" ht="15">
      <c r="F1573" s="30">
        <v>24</v>
      </c>
      <c r="G1573" s="30">
        <v>32</v>
      </c>
      <c r="H1573" s="30">
        <v>800</v>
      </c>
      <c r="I1573" s="30">
        <f t="shared" si="46"/>
        <v>30400</v>
      </c>
      <c r="J1573" s="33">
        <f t="shared" si="47"/>
        <v>32.89473684210526</v>
      </c>
    </row>
    <row r="1574" spans="6:10" ht="15">
      <c r="F1574" s="30">
        <v>24</v>
      </c>
      <c r="G1574" s="30">
        <v>33</v>
      </c>
      <c r="H1574" s="30">
        <v>825</v>
      </c>
      <c r="I1574" s="30">
        <f t="shared" si="46"/>
        <v>31350</v>
      </c>
      <c r="J1574" s="33">
        <f t="shared" si="47"/>
        <v>31.897926634768744</v>
      </c>
    </row>
    <row r="1575" spans="6:10" ht="15">
      <c r="F1575" s="30">
        <v>24</v>
      </c>
      <c r="G1575" s="30">
        <v>34</v>
      </c>
      <c r="H1575" s="30">
        <v>850</v>
      </c>
      <c r="I1575" s="30">
        <f t="shared" si="46"/>
        <v>32300</v>
      </c>
      <c r="J1575" s="33">
        <f t="shared" si="47"/>
        <v>30.959752321981426</v>
      </c>
    </row>
    <row r="1576" spans="6:10" ht="15">
      <c r="F1576" s="30">
        <v>24</v>
      </c>
      <c r="G1576" s="30">
        <v>35</v>
      </c>
      <c r="H1576" s="30">
        <v>875</v>
      </c>
      <c r="I1576" s="30">
        <f t="shared" si="46"/>
        <v>33250</v>
      </c>
      <c r="J1576" s="33">
        <f t="shared" si="47"/>
        <v>30.075187969924812</v>
      </c>
    </row>
    <row r="1577" spans="6:10" ht="15">
      <c r="F1577" s="30">
        <v>24</v>
      </c>
      <c r="G1577" s="30">
        <v>36</v>
      </c>
      <c r="H1577" s="30">
        <v>900</v>
      </c>
      <c r="I1577" s="30">
        <f t="shared" si="46"/>
        <v>34200</v>
      </c>
      <c r="J1577" s="33">
        <f t="shared" si="47"/>
        <v>29.239766081871345</v>
      </c>
    </row>
    <row r="1578" spans="6:10" ht="15">
      <c r="F1578" s="30">
        <v>24</v>
      </c>
      <c r="G1578" s="30">
        <v>37</v>
      </c>
      <c r="H1578" s="30">
        <v>925</v>
      </c>
      <c r="I1578" s="30">
        <f t="shared" si="46"/>
        <v>35150</v>
      </c>
      <c r="J1578" s="33">
        <f t="shared" si="47"/>
        <v>28.449502133712659</v>
      </c>
    </row>
    <row r="1579" spans="6:10" ht="15">
      <c r="F1579" s="30">
        <v>24</v>
      </c>
      <c r="G1579" s="30">
        <v>38</v>
      </c>
      <c r="H1579" s="30">
        <v>950</v>
      </c>
      <c r="I1579" s="30">
        <f t="shared" si="46"/>
        <v>36100</v>
      </c>
      <c r="J1579" s="33">
        <f t="shared" si="47"/>
        <v>27.700831024930746</v>
      </c>
    </row>
    <row r="1580" spans="6:10" ht="15">
      <c r="F1580" s="30">
        <v>24</v>
      </c>
      <c r="G1580" s="30">
        <v>39</v>
      </c>
      <c r="H1580" s="30">
        <v>975</v>
      </c>
      <c r="I1580" s="30">
        <f t="shared" si="46"/>
        <v>37050</v>
      </c>
      <c r="J1580" s="33">
        <f t="shared" si="47"/>
        <v>26.990553306342782</v>
      </c>
    </row>
    <row r="1581" spans="6:10" ht="15">
      <c r="F1581" s="30">
        <v>24</v>
      </c>
      <c r="G1581" s="30">
        <v>40</v>
      </c>
      <c r="H1581" s="30">
        <v>1000</v>
      </c>
      <c r="I1581" s="30">
        <f t="shared" si="46"/>
        <v>38000</v>
      </c>
      <c r="J1581" s="33">
        <f t="shared" si="47"/>
        <v>26.315789473684212</v>
      </c>
    </row>
    <row r="1582" spans="6:10" ht="15">
      <c r="F1582" s="30">
        <v>24</v>
      </c>
      <c r="G1582" s="30">
        <v>41</v>
      </c>
      <c r="H1582" s="30">
        <v>1025</v>
      </c>
      <c r="I1582" s="30">
        <f t="shared" si="46"/>
        <v>38950</v>
      </c>
      <c r="J1582" s="33">
        <f t="shared" si="47"/>
        <v>25.673940949935815</v>
      </c>
    </row>
    <row r="1583" spans="6:10" ht="15">
      <c r="F1583" s="30">
        <v>24</v>
      </c>
      <c r="G1583" s="30">
        <v>42</v>
      </c>
      <c r="H1583" s="30">
        <v>1050</v>
      </c>
      <c r="I1583" s="30">
        <f t="shared" si="46"/>
        <v>39900</v>
      </c>
      <c r="J1583" s="33">
        <f t="shared" si="47"/>
        <v>25.062656641604011</v>
      </c>
    </row>
    <row r="1584" spans="6:10" ht="15">
      <c r="F1584" s="30">
        <v>24</v>
      </c>
      <c r="G1584" s="30">
        <v>43</v>
      </c>
      <c r="H1584" s="30">
        <v>1075</v>
      </c>
      <c r="I1584" s="30">
        <f t="shared" si="46"/>
        <v>40850</v>
      </c>
      <c r="J1584" s="33">
        <f t="shared" si="47"/>
        <v>24.479804161566708</v>
      </c>
    </row>
    <row r="1585" spans="6:10" ht="15">
      <c r="F1585" s="30">
        <v>24</v>
      </c>
      <c r="G1585" s="30">
        <v>44</v>
      </c>
      <c r="H1585" s="30">
        <v>1100</v>
      </c>
      <c r="I1585" s="30">
        <f t="shared" si="46"/>
        <v>41800</v>
      </c>
      <c r="J1585" s="33">
        <f t="shared" si="47"/>
        <v>23.923444976076556</v>
      </c>
    </row>
    <row r="1586" spans="6:10" ht="15">
      <c r="F1586" s="30">
        <v>24</v>
      </c>
      <c r="G1586" s="30">
        <v>45</v>
      </c>
      <c r="H1586" s="30">
        <v>1125</v>
      </c>
      <c r="I1586" s="30">
        <f t="shared" si="46"/>
        <v>42750</v>
      </c>
      <c r="J1586" s="33">
        <f t="shared" si="47"/>
        <v>23.391812865497077</v>
      </c>
    </row>
    <row r="1587" spans="6:10" ht="15">
      <c r="F1587" s="30">
        <v>24</v>
      </c>
      <c r="G1587" s="30">
        <v>46</v>
      </c>
      <c r="H1587" s="30">
        <v>1150</v>
      </c>
      <c r="I1587" s="30">
        <f t="shared" si="46"/>
        <v>43700</v>
      </c>
      <c r="J1587" s="33">
        <f t="shared" si="47"/>
        <v>22.883295194508008</v>
      </c>
    </row>
    <row r="1588" spans="6:10" ht="15">
      <c r="F1588" s="30">
        <v>24</v>
      </c>
      <c r="G1588" s="30">
        <v>47</v>
      </c>
      <c r="H1588" s="30">
        <v>1175</v>
      </c>
      <c r="I1588" s="30">
        <f t="shared" si="46"/>
        <v>44650</v>
      </c>
      <c r="J1588" s="33">
        <f t="shared" si="47"/>
        <v>22.396416573348265</v>
      </c>
    </row>
    <row r="1589" spans="6:10" ht="15">
      <c r="F1589" s="30">
        <v>24</v>
      </c>
      <c r="G1589" s="30">
        <v>48</v>
      </c>
      <c r="H1589" s="30">
        <v>1200</v>
      </c>
      <c r="I1589" s="30">
        <f t="shared" si="46"/>
        <v>45600</v>
      </c>
      <c r="J1589" s="33">
        <f t="shared" si="47"/>
        <v>21.929824561403507</v>
      </c>
    </row>
    <row r="1590" spans="6:10" ht="15">
      <c r="F1590" s="30">
        <v>24</v>
      </c>
      <c r="G1590" s="30">
        <v>49</v>
      </c>
      <c r="H1590" s="30">
        <v>1225</v>
      </c>
      <c r="I1590" s="30">
        <f t="shared" si="46"/>
        <v>46550</v>
      </c>
      <c r="J1590" s="33">
        <f t="shared" si="47"/>
        <v>21.482277121374864</v>
      </c>
    </row>
    <row r="1591" spans="6:10" ht="15">
      <c r="F1591" s="30">
        <v>24</v>
      </c>
      <c r="G1591" s="30">
        <v>50</v>
      </c>
      <c r="H1591" s="30">
        <v>1250</v>
      </c>
      <c r="I1591" s="30">
        <f t="shared" si="46"/>
        <v>47500</v>
      </c>
      <c r="J1591" s="33">
        <f t="shared" si="47"/>
        <v>21.05263157894737</v>
      </c>
    </row>
    <row r="1592" spans="6:10" ht="15">
      <c r="F1592" s="30">
        <v>24</v>
      </c>
      <c r="G1592" s="30">
        <v>51</v>
      </c>
      <c r="H1592" s="30">
        <v>1275</v>
      </c>
      <c r="I1592" s="30">
        <f t="shared" si="46"/>
        <v>48450</v>
      </c>
      <c r="J1592" s="33">
        <f t="shared" si="47"/>
        <v>20.639834881320951</v>
      </c>
    </row>
    <row r="1593" spans="6:10" ht="15">
      <c r="F1593" s="30">
        <v>24</v>
      </c>
      <c r="G1593" s="30">
        <v>52</v>
      </c>
      <c r="H1593" s="30">
        <v>1300</v>
      </c>
      <c r="I1593" s="30">
        <f t="shared" si="46"/>
        <v>49400</v>
      </c>
      <c r="J1593" s="33">
        <f t="shared" si="47"/>
        <v>20.242914979757085</v>
      </c>
    </row>
    <row r="1594" spans="6:10" ht="15">
      <c r="F1594" s="30">
        <v>24</v>
      </c>
      <c r="G1594" s="30">
        <v>53</v>
      </c>
      <c r="H1594" s="30">
        <v>1325</v>
      </c>
      <c r="I1594" s="30">
        <f t="shared" si="46"/>
        <v>50350</v>
      </c>
      <c r="J1594" s="33">
        <f t="shared" si="47"/>
        <v>19.860973187686195</v>
      </c>
    </row>
    <row r="1595" spans="6:10" ht="15">
      <c r="F1595" s="30">
        <v>24</v>
      </c>
      <c r="G1595" s="30">
        <v>54</v>
      </c>
      <c r="H1595" s="30">
        <v>1350</v>
      </c>
      <c r="I1595" s="30">
        <f t="shared" si="46"/>
        <v>51300</v>
      </c>
      <c r="J1595" s="33">
        <f t="shared" si="47"/>
        <v>19.49317738791423</v>
      </c>
    </row>
    <row r="1596" spans="6:10" ht="15">
      <c r="F1596" s="30">
        <v>24</v>
      </c>
      <c r="G1596" s="30">
        <v>55</v>
      </c>
      <c r="H1596" s="30">
        <v>1375</v>
      </c>
      <c r="I1596" s="30">
        <f t="shared" si="46"/>
        <v>52250</v>
      </c>
      <c r="J1596" s="33">
        <f t="shared" si="47"/>
        <v>19.138755980861244</v>
      </c>
    </row>
    <row r="1597" spans="6:10" ht="15">
      <c r="F1597" s="30">
        <v>24</v>
      </c>
      <c r="G1597" s="30">
        <v>56</v>
      </c>
      <c r="H1597" s="30">
        <v>1400</v>
      </c>
      <c r="I1597" s="30">
        <f t="shared" si="46"/>
        <v>53200</v>
      </c>
      <c r="J1597" s="33">
        <f t="shared" si="47"/>
        <v>18.796992481203006</v>
      </c>
    </row>
    <row r="1598" spans="6:10" ht="15">
      <c r="F1598" s="30">
        <v>24</v>
      </c>
      <c r="G1598" s="30">
        <v>57</v>
      </c>
      <c r="H1598" s="30">
        <v>1425</v>
      </c>
      <c r="I1598" s="30">
        <f t="shared" si="46"/>
        <v>54150</v>
      </c>
      <c r="J1598" s="33">
        <f t="shared" si="47"/>
        <v>18.467220683287167</v>
      </c>
    </row>
    <row r="1599" spans="6:10" ht="15">
      <c r="F1599" s="30">
        <v>24</v>
      </c>
      <c r="G1599" s="30">
        <v>58</v>
      </c>
      <c r="H1599" s="30">
        <v>1450</v>
      </c>
      <c r="I1599" s="30">
        <f t="shared" si="46"/>
        <v>55100</v>
      </c>
      <c r="J1599" s="33">
        <f t="shared" si="47"/>
        <v>18.148820326678766</v>
      </c>
    </row>
    <row r="1600" spans="6:10" ht="15">
      <c r="F1600" s="30">
        <v>24</v>
      </c>
      <c r="G1600" s="30">
        <v>59</v>
      </c>
      <c r="H1600" s="30">
        <v>1475</v>
      </c>
      <c r="I1600" s="30">
        <f t="shared" si="46"/>
        <v>56050</v>
      </c>
      <c r="J1600" s="33">
        <f t="shared" si="47"/>
        <v>17.841213202497773</v>
      </c>
    </row>
    <row r="1601" spans="6:10" ht="15">
      <c r="F1601" s="30">
        <v>24</v>
      </c>
      <c r="G1601" s="30">
        <v>60</v>
      </c>
      <c r="H1601" s="30">
        <v>1500</v>
      </c>
      <c r="I1601" s="30">
        <f t="shared" si="46"/>
        <v>57000</v>
      </c>
      <c r="J1601" s="33">
        <f t="shared" si="47"/>
        <v>17.543859649122805</v>
      </c>
    </row>
    <row r="1602" spans="6:10" ht="15">
      <c r="F1602" s="30">
        <v>24</v>
      </c>
      <c r="G1602" s="30">
        <v>61</v>
      </c>
      <c r="H1602" s="30">
        <v>1525</v>
      </c>
      <c r="I1602" s="30">
        <f t="shared" si="46"/>
        <v>57950</v>
      </c>
      <c r="J1602" s="33">
        <f t="shared" si="47"/>
        <v>17.25625539257981</v>
      </c>
    </row>
    <row r="1603" spans="6:10" ht="15">
      <c r="F1603" s="30">
        <v>24</v>
      </c>
      <c r="G1603" s="30">
        <v>62</v>
      </c>
      <c r="H1603" s="30">
        <v>1550</v>
      </c>
      <c r="I1603" s="30">
        <f t="shared" si="46"/>
        <v>58900</v>
      </c>
      <c r="J1603" s="33">
        <f t="shared" si="47"/>
        <v>16.977928692699489</v>
      </c>
    </row>
    <row r="1604" spans="6:10" ht="15">
      <c r="F1604" s="30">
        <v>24</v>
      </c>
      <c r="G1604" s="30">
        <v>63</v>
      </c>
      <c r="H1604" s="30">
        <v>1575</v>
      </c>
      <c r="I1604" s="30">
        <f t="shared" si="46"/>
        <v>59850</v>
      </c>
      <c r="J1604" s="33">
        <f t="shared" si="47"/>
        <v>16.708437761069341</v>
      </c>
    </row>
    <row r="1605" spans="6:10" ht="15">
      <c r="F1605" s="30">
        <v>24</v>
      </c>
      <c r="G1605" s="30">
        <v>64</v>
      </c>
      <c r="H1605" s="30">
        <v>1600</v>
      </c>
      <c r="I1605" s="30">
        <f t="shared" si="46"/>
        <v>60800</v>
      </c>
      <c r="J1605" s="33">
        <f t="shared" si="47"/>
        <v>16.44736842105263</v>
      </c>
    </row>
    <row r="1606" spans="6:10" ht="15">
      <c r="F1606" s="30">
        <v>25</v>
      </c>
      <c r="G1606" s="30">
        <v>1</v>
      </c>
      <c r="H1606" s="30">
        <v>25</v>
      </c>
      <c r="I1606" s="30">
        <f t="shared" si="46"/>
        <v>975</v>
      </c>
      <c r="J1606" s="33">
        <f t="shared" si="47"/>
        <v>1025.6410256410256</v>
      </c>
    </row>
    <row r="1607" spans="6:10" ht="15">
      <c r="F1607" s="30">
        <v>25</v>
      </c>
      <c r="G1607" s="30">
        <v>2</v>
      </c>
      <c r="H1607" s="30">
        <v>50</v>
      </c>
      <c r="I1607" s="30">
        <f t="shared" ref="I1607:I1670" si="48">(14+F1607)*H1607</f>
        <v>1950</v>
      </c>
      <c r="J1607" s="33">
        <f t="shared" ref="J1607:J1670" si="49">(1/I1607)*1000000</f>
        <v>512.82051282051282</v>
      </c>
    </row>
    <row r="1608" spans="6:10" ht="15">
      <c r="F1608" s="30">
        <v>25</v>
      </c>
      <c r="G1608" s="30">
        <v>3</v>
      </c>
      <c r="H1608" s="30">
        <v>75</v>
      </c>
      <c r="I1608" s="30">
        <f t="shared" si="48"/>
        <v>2925</v>
      </c>
      <c r="J1608" s="33">
        <f t="shared" si="49"/>
        <v>341.88034188034186</v>
      </c>
    </row>
    <row r="1609" spans="6:10" ht="15">
      <c r="F1609" s="30">
        <v>25</v>
      </c>
      <c r="G1609" s="30">
        <v>4</v>
      </c>
      <c r="H1609" s="30">
        <v>100</v>
      </c>
      <c r="I1609" s="30">
        <f t="shared" si="48"/>
        <v>3900</v>
      </c>
      <c r="J1609" s="33">
        <f t="shared" si="49"/>
        <v>256.41025641025641</v>
      </c>
    </row>
    <row r="1610" spans="6:10" ht="15">
      <c r="F1610" s="30">
        <v>25</v>
      </c>
      <c r="G1610" s="30">
        <v>5</v>
      </c>
      <c r="H1610" s="30">
        <v>125</v>
      </c>
      <c r="I1610" s="30">
        <f t="shared" si="48"/>
        <v>4875</v>
      </c>
      <c r="J1610" s="33">
        <f t="shared" si="49"/>
        <v>205.12820512820511</v>
      </c>
    </row>
    <row r="1611" spans="6:10" ht="15">
      <c r="F1611" s="30">
        <v>25</v>
      </c>
      <c r="G1611" s="30">
        <v>6</v>
      </c>
      <c r="H1611" s="30">
        <v>150</v>
      </c>
      <c r="I1611" s="30">
        <f t="shared" si="48"/>
        <v>5850</v>
      </c>
      <c r="J1611" s="33">
        <f t="shared" si="49"/>
        <v>170.94017094017093</v>
      </c>
    </row>
    <row r="1612" spans="6:10" ht="15">
      <c r="F1612" s="30">
        <v>25</v>
      </c>
      <c r="G1612" s="30">
        <v>7</v>
      </c>
      <c r="H1612" s="30">
        <v>175</v>
      </c>
      <c r="I1612" s="30">
        <f t="shared" si="48"/>
        <v>6825</v>
      </c>
      <c r="J1612" s="33">
        <f t="shared" si="49"/>
        <v>146.52014652014651</v>
      </c>
    </row>
    <row r="1613" spans="6:10" ht="15">
      <c r="F1613" s="30">
        <v>25</v>
      </c>
      <c r="G1613" s="30">
        <v>8</v>
      </c>
      <c r="H1613" s="30">
        <v>200</v>
      </c>
      <c r="I1613" s="30">
        <f t="shared" si="48"/>
        <v>7800</v>
      </c>
      <c r="J1613" s="33">
        <f t="shared" si="49"/>
        <v>128.2051282051282</v>
      </c>
    </row>
    <row r="1614" spans="6:10" ht="15">
      <c r="F1614" s="30">
        <v>25</v>
      </c>
      <c r="G1614" s="30">
        <v>9</v>
      </c>
      <c r="H1614" s="30">
        <v>225</v>
      </c>
      <c r="I1614" s="30">
        <f t="shared" si="48"/>
        <v>8775</v>
      </c>
      <c r="J1614" s="33">
        <f t="shared" si="49"/>
        <v>113.96011396011396</v>
      </c>
    </row>
    <row r="1615" spans="6:10" ht="15">
      <c r="F1615" s="30">
        <v>25</v>
      </c>
      <c r="G1615" s="30">
        <v>10</v>
      </c>
      <c r="H1615" s="30">
        <v>250</v>
      </c>
      <c r="I1615" s="30">
        <f t="shared" si="48"/>
        <v>9750</v>
      </c>
      <c r="J1615" s="33">
        <f t="shared" si="49"/>
        <v>102.56410256410255</v>
      </c>
    </row>
    <row r="1616" spans="6:10" ht="15">
      <c r="F1616" s="30">
        <v>25</v>
      </c>
      <c r="G1616" s="30">
        <v>11</v>
      </c>
      <c r="H1616" s="30">
        <v>275</v>
      </c>
      <c r="I1616" s="30">
        <f t="shared" si="48"/>
        <v>10725</v>
      </c>
      <c r="J1616" s="33">
        <f t="shared" si="49"/>
        <v>93.240093240093245</v>
      </c>
    </row>
    <row r="1617" spans="6:10" ht="15">
      <c r="F1617" s="30">
        <v>25</v>
      </c>
      <c r="G1617" s="30">
        <v>12</v>
      </c>
      <c r="H1617" s="30">
        <v>300</v>
      </c>
      <c r="I1617" s="30">
        <f t="shared" si="48"/>
        <v>11700</v>
      </c>
      <c r="J1617" s="33">
        <f t="shared" si="49"/>
        <v>85.470085470085465</v>
      </c>
    </row>
    <row r="1618" spans="6:10" ht="15">
      <c r="F1618" s="30">
        <v>25</v>
      </c>
      <c r="G1618" s="30">
        <v>13</v>
      </c>
      <c r="H1618" s="30">
        <v>325</v>
      </c>
      <c r="I1618" s="30">
        <f t="shared" si="48"/>
        <v>12675</v>
      </c>
      <c r="J1618" s="33">
        <f t="shared" si="49"/>
        <v>78.895463510848117</v>
      </c>
    </row>
    <row r="1619" spans="6:10" ht="15">
      <c r="F1619" s="30">
        <v>25</v>
      </c>
      <c r="G1619" s="30">
        <v>14</v>
      </c>
      <c r="H1619" s="30">
        <v>350</v>
      </c>
      <c r="I1619" s="30">
        <f t="shared" si="48"/>
        <v>13650</v>
      </c>
      <c r="J1619" s="33">
        <f t="shared" si="49"/>
        <v>73.260073260073256</v>
      </c>
    </row>
    <row r="1620" spans="6:10" ht="15">
      <c r="F1620" s="30">
        <v>25</v>
      </c>
      <c r="G1620" s="30">
        <v>15</v>
      </c>
      <c r="H1620" s="30">
        <v>375</v>
      </c>
      <c r="I1620" s="30">
        <f t="shared" si="48"/>
        <v>14625</v>
      </c>
      <c r="J1620" s="33">
        <f t="shared" si="49"/>
        <v>68.376068376068375</v>
      </c>
    </row>
    <row r="1621" spans="6:10" ht="15">
      <c r="F1621" s="30">
        <v>25</v>
      </c>
      <c r="G1621" s="30">
        <v>16</v>
      </c>
      <c r="H1621" s="30">
        <v>400</v>
      </c>
      <c r="I1621" s="30">
        <f t="shared" si="48"/>
        <v>15600</v>
      </c>
      <c r="J1621" s="33">
        <f t="shared" si="49"/>
        <v>64.102564102564102</v>
      </c>
    </row>
    <row r="1622" spans="6:10" ht="15">
      <c r="F1622" s="30">
        <v>25</v>
      </c>
      <c r="G1622" s="30">
        <v>17</v>
      </c>
      <c r="H1622" s="30">
        <v>425</v>
      </c>
      <c r="I1622" s="30">
        <f t="shared" si="48"/>
        <v>16575</v>
      </c>
      <c r="J1622" s="33">
        <f t="shared" si="49"/>
        <v>60.331825037707389</v>
      </c>
    </row>
    <row r="1623" spans="6:10" ht="15">
      <c r="F1623" s="30">
        <v>25</v>
      </c>
      <c r="G1623" s="30">
        <v>18</v>
      </c>
      <c r="H1623" s="30">
        <v>450</v>
      </c>
      <c r="I1623" s="30">
        <f t="shared" si="48"/>
        <v>17550</v>
      </c>
      <c r="J1623" s="33">
        <f t="shared" si="49"/>
        <v>56.980056980056979</v>
      </c>
    </row>
    <row r="1624" spans="6:10" ht="15">
      <c r="F1624" s="30">
        <v>25</v>
      </c>
      <c r="G1624" s="30">
        <v>19</v>
      </c>
      <c r="H1624" s="30">
        <v>475</v>
      </c>
      <c r="I1624" s="30">
        <f t="shared" si="48"/>
        <v>18525</v>
      </c>
      <c r="J1624" s="33">
        <f t="shared" si="49"/>
        <v>53.981106612685565</v>
      </c>
    </row>
    <row r="1625" spans="6:10" ht="15">
      <c r="F1625" s="30">
        <v>25</v>
      </c>
      <c r="G1625" s="30">
        <v>20</v>
      </c>
      <c r="H1625" s="30">
        <v>500</v>
      </c>
      <c r="I1625" s="30">
        <f t="shared" si="48"/>
        <v>19500</v>
      </c>
      <c r="J1625" s="33">
        <f t="shared" si="49"/>
        <v>51.282051282051277</v>
      </c>
    </row>
    <row r="1626" spans="6:10" ht="15">
      <c r="F1626" s="30">
        <v>25</v>
      </c>
      <c r="G1626" s="30">
        <v>21</v>
      </c>
      <c r="H1626" s="30">
        <v>525</v>
      </c>
      <c r="I1626" s="30">
        <f t="shared" si="48"/>
        <v>20475</v>
      </c>
      <c r="J1626" s="33">
        <f t="shared" si="49"/>
        <v>48.840048840048837</v>
      </c>
    </row>
    <row r="1627" spans="6:10" ht="15">
      <c r="F1627" s="30">
        <v>25</v>
      </c>
      <c r="G1627" s="30">
        <v>22</v>
      </c>
      <c r="H1627" s="30">
        <v>550</v>
      </c>
      <c r="I1627" s="30">
        <f t="shared" si="48"/>
        <v>21450</v>
      </c>
      <c r="J1627" s="33">
        <f t="shared" si="49"/>
        <v>46.620046620046622</v>
      </c>
    </row>
    <row r="1628" spans="6:10" ht="15">
      <c r="F1628" s="30">
        <v>25</v>
      </c>
      <c r="G1628" s="30">
        <v>23</v>
      </c>
      <c r="H1628" s="30">
        <v>575</v>
      </c>
      <c r="I1628" s="30">
        <f t="shared" si="48"/>
        <v>22425</v>
      </c>
      <c r="J1628" s="33">
        <f t="shared" si="49"/>
        <v>44.593088071348937</v>
      </c>
    </row>
    <row r="1629" spans="6:10" ht="15">
      <c r="F1629" s="30">
        <v>25</v>
      </c>
      <c r="G1629" s="30">
        <v>24</v>
      </c>
      <c r="H1629" s="30">
        <v>600</v>
      </c>
      <c r="I1629" s="30">
        <f t="shared" si="48"/>
        <v>23400</v>
      </c>
      <c r="J1629" s="33">
        <f t="shared" si="49"/>
        <v>42.735042735042732</v>
      </c>
    </row>
    <row r="1630" spans="6:10" ht="15">
      <c r="F1630" s="30">
        <v>25</v>
      </c>
      <c r="G1630" s="30">
        <v>25</v>
      </c>
      <c r="H1630" s="30">
        <v>625</v>
      </c>
      <c r="I1630" s="30">
        <f t="shared" si="48"/>
        <v>24375</v>
      </c>
      <c r="J1630" s="33">
        <f t="shared" si="49"/>
        <v>41.025641025641022</v>
      </c>
    </row>
    <row r="1631" spans="6:10" ht="15">
      <c r="F1631" s="30">
        <v>25</v>
      </c>
      <c r="G1631" s="30">
        <v>26</v>
      </c>
      <c r="H1631" s="30">
        <v>650</v>
      </c>
      <c r="I1631" s="30">
        <f t="shared" si="48"/>
        <v>25350</v>
      </c>
      <c r="J1631" s="33">
        <f t="shared" si="49"/>
        <v>39.447731755424059</v>
      </c>
    </row>
    <row r="1632" spans="6:10" ht="15">
      <c r="F1632" s="30">
        <v>25</v>
      </c>
      <c r="G1632" s="30">
        <v>27</v>
      </c>
      <c r="H1632" s="30">
        <v>675</v>
      </c>
      <c r="I1632" s="30">
        <f t="shared" si="48"/>
        <v>26325</v>
      </c>
      <c r="J1632" s="33">
        <f t="shared" si="49"/>
        <v>37.986704653371326</v>
      </c>
    </row>
    <row r="1633" spans="6:10" ht="15">
      <c r="F1633" s="30">
        <v>25</v>
      </c>
      <c r="G1633" s="30">
        <v>28</v>
      </c>
      <c r="H1633" s="30">
        <v>700</v>
      </c>
      <c r="I1633" s="30">
        <f t="shared" si="48"/>
        <v>27300</v>
      </c>
      <c r="J1633" s="33">
        <f t="shared" si="49"/>
        <v>36.630036630036628</v>
      </c>
    </row>
    <row r="1634" spans="6:10" ht="15">
      <c r="F1634" s="30">
        <v>25</v>
      </c>
      <c r="G1634" s="30">
        <v>29</v>
      </c>
      <c r="H1634" s="30">
        <v>725</v>
      </c>
      <c r="I1634" s="30">
        <f t="shared" si="48"/>
        <v>28275</v>
      </c>
      <c r="J1634" s="33">
        <f t="shared" si="49"/>
        <v>35.366931918656057</v>
      </c>
    </row>
    <row r="1635" spans="6:10" ht="15">
      <c r="F1635" s="30">
        <v>25</v>
      </c>
      <c r="G1635" s="30">
        <v>30</v>
      </c>
      <c r="H1635" s="30">
        <v>750</v>
      </c>
      <c r="I1635" s="30">
        <f t="shared" si="48"/>
        <v>29250</v>
      </c>
      <c r="J1635" s="33">
        <f t="shared" si="49"/>
        <v>34.188034188034187</v>
      </c>
    </row>
    <row r="1636" spans="6:10" ht="15">
      <c r="F1636" s="30">
        <v>25</v>
      </c>
      <c r="G1636" s="30">
        <v>31</v>
      </c>
      <c r="H1636" s="30">
        <v>775</v>
      </c>
      <c r="I1636" s="30">
        <f t="shared" si="48"/>
        <v>30225</v>
      </c>
      <c r="J1636" s="33">
        <f t="shared" si="49"/>
        <v>33.085194375516956</v>
      </c>
    </row>
    <row r="1637" spans="6:10" ht="15">
      <c r="F1637" s="30">
        <v>25</v>
      </c>
      <c r="G1637" s="30">
        <v>32</v>
      </c>
      <c r="H1637" s="30">
        <v>800</v>
      </c>
      <c r="I1637" s="30">
        <f t="shared" si="48"/>
        <v>31200</v>
      </c>
      <c r="J1637" s="33">
        <f t="shared" si="49"/>
        <v>32.051282051282051</v>
      </c>
    </row>
    <row r="1638" spans="6:10" ht="15">
      <c r="F1638" s="30">
        <v>25</v>
      </c>
      <c r="G1638" s="30">
        <v>33</v>
      </c>
      <c r="H1638" s="30">
        <v>825</v>
      </c>
      <c r="I1638" s="30">
        <f t="shared" si="48"/>
        <v>32175</v>
      </c>
      <c r="J1638" s="33">
        <f t="shared" si="49"/>
        <v>31.08003108003108</v>
      </c>
    </row>
    <row r="1639" spans="6:10" ht="15">
      <c r="F1639" s="30">
        <v>25</v>
      </c>
      <c r="G1639" s="30">
        <v>34</v>
      </c>
      <c r="H1639" s="30">
        <v>850</v>
      </c>
      <c r="I1639" s="30">
        <f t="shared" si="48"/>
        <v>33150</v>
      </c>
      <c r="J1639" s="33">
        <f t="shared" si="49"/>
        <v>30.165912518853695</v>
      </c>
    </row>
    <row r="1640" spans="6:10" ht="15">
      <c r="F1640" s="30">
        <v>25</v>
      </c>
      <c r="G1640" s="30">
        <v>35</v>
      </c>
      <c r="H1640" s="30">
        <v>875</v>
      </c>
      <c r="I1640" s="30">
        <f t="shared" si="48"/>
        <v>34125</v>
      </c>
      <c r="J1640" s="33">
        <f t="shared" si="49"/>
        <v>29.304029304029307</v>
      </c>
    </row>
    <row r="1641" spans="6:10" ht="15">
      <c r="F1641" s="30">
        <v>25</v>
      </c>
      <c r="G1641" s="30">
        <v>36</v>
      </c>
      <c r="H1641" s="30">
        <v>900</v>
      </c>
      <c r="I1641" s="30">
        <f t="shared" si="48"/>
        <v>35100</v>
      </c>
      <c r="J1641" s="33">
        <f t="shared" si="49"/>
        <v>28.490028490028489</v>
      </c>
    </row>
    <row r="1642" spans="6:10" ht="15">
      <c r="F1642" s="30">
        <v>25</v>
      </c>
      <c r="G1642" s="30">
        <v>37</v>
      </c>
      <c r="H1642" s="30">
        <v>925</v>
      </c>
      <c r="I1642" s="30">
        <f t="shared" si="48"/>
        <v>36075</v>
      </c>
      <c r="J1642" s="33">
        <f t="shared" si="49"/>
        <v>27.720027720027719</v>
      </c>
    </row>
    <row r="1643" spans="6:10" ht="15">
      <c r="F1643" s="30">
        <v>25</v>
      </c>
      <c r="G1643" s="30">
        <v>38</v>
      </c>
      <c r="H1643" s="30">
        <v>950</v>
      </c>
      <c r="I1643" s="30">
        <f t="shared" si="48"/>
        <v>37050</v>
      </c>
      <c r="J1643" s="33">
        <f t="shared" si="49"/>
        <v>26.990553306342782</v>
      </c>
    </row>
    <row r="1644" spans="6:10" ht="15">
      <c r="F1644" s="30">
        <v>25</v>
      </c>
      <c r="G1644" s="30">
        <v>39</v>
      </c>
      <c r="H1644" s="30">
        <v>975</v>
      </c>
      <c r="I1644" s="30">
        <f t="shared" si="48"/>
        <v>38025</v>
      </c>
      <c r="J1644" s="33">
        <f t="shared" si="49"/>
        <v>26.298487836949377</v>
      </c>
    </row>
    <row r="1645" spans="6:10" ht="15">
      <c r="F1645" s="30">
        <v>25</v>
      </c>
      <c r="G1645" s="30">
        <v>40</v>
      </c>
      <c r="H1645" s="30">
        <v>1000</v>
      </c>
      <c r="I1645" s="30">
        <f t="shared" si="48"/>
        <v>39000</v>
      </c>
      <c r="J1645" s="33">
        <f t="shared" si="49"/>
        <v>25.641025641025639</v>
      </c>
    </row>
    <row r="1646" spans="6:10" ht="15">
      <c r="F1646" s="30">
        <v>25</v>
      </c>
      <c r="G1646" s="30">
        <v>41</v>
      </c>
      <c r="H1646" s="30">
        <v>1025</v>
      </c>
      <c r="I1646" s="30">
        <f t="shared" si="48"/>
        <v>39975</v>
      </c>
      <c r="J1646" s="33">
        <f t="shared" si="49"/>
        <v>25.015634771732334</v>
      </c>
    </row>
    <row r="1647" spans="6:10" ht="15">
      <c r="F1647" s="30">
        <v>25</v>
      </c>
      <c r="G1647" s="30">
        <v>42</v>
      </c>
      <c r="H1647" s="30">
        <v>1050</v>
      </c>
      <c r="I1647" s="30">
        <f t="shared" si="48"/>
        <v>40950</v>
      </c>
      <c r="J1647" s="33">
        <f t="shared" si="49"/>
        <v>24.420024420024419</v>
      </c>
    </row>
    <row r="1648" spans="6:10" ht="15">
      <c r="F1648" s="30">
        <v>25</v>
      </c>
      <c r="G1648" s="30">
        <v>43</v>
      </c>
      <c r="H1648" s="30">
        <v>1075</v>
      </c>
      <c r="I1648" s="30">
        <f t="shared" si="48"/>
        <v>41925</v>
      </c>
      <c r="J1648" s="33">
        <f t="shared" si="49"/>
        <v>23.85211687537269</v>
      </c>
    </row>
    <row r="1649" spans="6:10" ht="15">
      <c r="F1649" s="30">
        <v>25</v>
      </c>
      <c r="G1649" s="30">
        <v>44</v>
      </c>
      <c r="H1649" s="30">
        <v>1100</v>
      </c>
      <c r="I1649" s="30">
        <f t="shared" si="48"/>
        <v>42900</v>
      </c>
      <c r="J1649" s="33">
        <f t="shared" si="49"/>
        <v>23.310023310023311</v>
      </c>
    </row>
    <row r="1650" spans="6:10" ht="15">
      <c r="F1650" s="30">
        <v>25</v>
      </c>
      <c r="G1650" s="30">
        <v>45</v>
      </c>
      <c r="H1650" s="30">
        <v>1125</v>
      </c>
      <c r="I1650" s="30">
        <f t="shared" si="48"/>
        <v>43875</v>
      </c>
      <c r="J1650" s="33">
        <f t="shared" si="49"/>
        <v>22.792022792022792</v>
      </c>
    </row>
    <row r="1651" spans="6:10" ht="15">
      <c r="F1651" s="30">
        <v>25</v>
      </c>
      <c r="G1651" s="30">
        <v>46</v>
      </c>
      <c r="H1651" s="30">
        <v>1150</v>
      </c>
      <c r="I1651" s="30">
        <f t="shared" si="48"/>
        <v>44850</v>
      </c>
      <c r="J1651" s="33">
        <f t="shared" si="49"/>
        <v>22.296544035674469</v>
      </c>
    </row>
    <row r="1652" spans="6:10" ht="15">
      <c r="F1652" s="30">
        <v>25</v>
      </c>
      <c r="G1652" s="30">
        <v>47</v>
      </c>
      <c r="H1652" s="30">
        <v>1175</v>
      </c>
      <c r="I1652" s="30">
        <f t="shared" si="48"/>
        <v>45825</v>
      </c>
      <c r="J1652" s="33">
        <f t="shared" si="49"/>
        <v>21.822149481723951</v>
      </c>
    </row>
    <row r="1653" spans="6:10" ht="15">
      <c r="F1653" s="30">
        <v>25</v>
      </c>
      <c r="G1653" s="30">
        <v>48</v>
      </c>
      <c r="H1653" s="30">
        <v>1200</v>
      </c>
      <c r="I1653" s="30">
        <f t="shared" si="48"/>
        <v>46800</v>
      </c>
      <c r="J1653" s="33">
        <f t="shared" si="49"/>
        <v>21.367521367521366</v>
      </c>
    </row>
    <row r="1654" spans="6:10" ht="15">
      <c r="F1654" s="30">
        <v>25</v>
      </c>
      <c r="G1654" s="30">
        <v>49</v>
      </c>
      <c r="H1654" s="30">
        <v>1225</v>
      </c>
      <c r="I1654" s="30">
        <f t="shared" si="48"/>
        <v>47775</v>
      </c>
      <c r="J1654" s="33">
        <f t="shared" si="49"/>
        <v>20.931449502878074</v>
      </c>
    </row>
    <row r="1655" spans="6:10" ht="15">
      <c r="F1655" s="30">
        <v>25</v>
      </c>
      <c r="G1655" s="30">
        <v>50</v>
      </c>
      <c r="H1655" s="30">
        <v>1250</v>
      </c>
      <c r="I1655" s="30">
        <f t="shared" si="48"/>
        <v>48750</v>
      </c>
      <c r="J1655" s="33">
        <f t="shared" si="49"/>
        <v>20.512820512820511</v>
      </c>
    </row>
    <row r="1656" spans="6:10" ht="15">
      <c r="F1656" s="30">
        <v>25</v>
      </c>
      <c r="G1656" s="30">
        <v>51</v>
      </c>
      <c r="H1656" s="30">
        <v>1275</v>
      </c>
      <c r="I1656" s="30">
        <f t="shared" si="48"/>
        <v>49725</v>
      </c>
      <c r="J1656" s="33">
        <f t="shared" si="49"/>
        <v>20.110608345902463</v>
      </c>
    </row>
    <row r="1657" spans="6:10" ht="15">
      <c r="F1657" s="30">
        <v>25</v>
      </c>
      <c r="G1657" s="30">
        <v>52</v>
      </c>
      <c r="H1657" s="30">
        <v>1300</v>
      </c>
      <c r="I1657" s="30">
        <f t="shared" si="48"/>
        <v>50700</v>
      </c>
      <c r="J1657" s="33">
        <f t="shared" si="49"/>
        <v>19.723865877712029</v>
      </c>
    </row>
    <row r="1658" spans="6:10" ht="15">
      <c r="F1658" s="30">
        <v>25</v>
      </c>
      <c r="G1658" s="30">
        <v>53</v>
      </c>
      <c r="H1658" s="30">
        <v>1325</v>
      </c>
      <c r="I1658" s="30">
        <f t="shared" si="48"/>
        <v>51675</v>
      </c>
      <c r="J1658" s="33">
        <f t="shared" si="49"/>
        <v>19.351717464925013</v>
      </c>
    </row>
    <row r="1659" spans="6:10" ht="15">
      <c r="F1659" s="30">
        <v>25</v>
      </c>
      <c r="G1659" s="30">
        <v>54</v>
      </c>
      <c r="H1659" s="30">
        <v>1350</v>
      </c>
      <c r="I1659" s="30">
        <f t="shared" si="48"/>
        <v>52650</v>
      </c>
      <c r="J1659" s="33">
        <f t="shared" si="49"/>
        <v>18.993352326685663</v>
      </c>
    </row>
    <row r="1660" spans="6:10" ht="15">
      <c r="F1660" s="30">
        <v>25</v>
      </c>
      <c r="G1660" s="30">
        <v>55</v>
      </c>
      <c r="H1660" s="30">
        <v>1375</v>
      </c>
      <c r="I1660" s="30">
        <f t="shared" si="48"/>
        <v>53625</v>
      </c>
      <c r="J1660" s="33">
        <f t="shared" si="49"/>
        <v>18.648018648018649</v>
      </c>
    </row>
    <row r="1661" spans="6:10" ht="15">
      <c r="F1661" s="30">
        <v>25</v>
      </c>
      <c r="G1661" s="30">
        <v>56</v>
      </c>
      <c r="H1661" s="30">
        <v>1400</v>
      </c>
      <c r="I1661" s="30">
        <f t="shared" si="48"/>
        <v>54600</v>
      </c>
      <c r="J1661" s="33">
        <f t="shared" si="49"/>
        <v>18.315018315018314</v>
      </c>
    </row>
    <row r="1662" spans="6:10" ht="15">
      <c r="F1662" s="30">
        <v>25</v>
      </c>
      <c r="G1662" s="30">
        <v>57</v>
      </c>
      <c r="H1662" s="30">
        <v>1425</v>
      </c>
      <c r="I1662" s="30">
        <f t="shared" si="48"/>
        <v>55575</v>
      </c>
      <c r="J1662" s="33">
        <f t="shared" si="49"/>
        <v>17.993702204228519</v>
      </c>
    </row>
    <row r="1663" spans="6:10" ht="15">
      <c r="F1663" s="30">
        <v>25</v>
      </c>
      <c r="G1663" s="30">
        <v>58</v>
      </c>
      <c r="H1663" s="30">
        <v>1450</v>
      </c>
      <c r="I1663" s="30">
        <f t="shared" si="48"/>
        <v>56550</v>
      </c>
      <c r="J1663" s="33">
        <f t="shared" si="49"/>
        <v>17.683465959328029</v>
      </c>
    </row>
    <row r="1664" spans="6:10" ht="15">
      <c r="F1664" s="30">
        <v>25</v>
      </c>
      <c r="G1664" s="30">
        <v>59</v>
      </c>
      <c r="H1664" s="30">
        <v>1475</v>
      </c>
      <c r="I1664" s="30">
        <f t="shared" si="48"/>
        <v>57525</v>
      </c>
      <c r="J1664" s="33">
        <f t="shared" si="49"/>
        <v>17.38374619730552</v>
      </c>
    </row>
    <row r="1665" spans="6:10" ht="15">
      <c r="F1665" s="30">
        <v>25</v>
      </c>
      <c r="G1665" s="30">
        <v>60</v>
      </c>
      <c r="H1665" s="30">
        <v>1500</v>
      </c>
      <c r="I1665" s="30">
        <f t="shared" si="48"/>
        <v>58500</v>
      </c>
      <c r="J1665" s="33">
        <f t="shared" si="49"/>
        <v>17.094017094017094</v>
      </c>
    </row>
    <row r="1666" spans="6:10" ht="15">
      <c r="F1666" s="30">
        <v>25</v>
      </c>
      <c r="G1666" s="30">
        <v>61</v>
      </c>
      <c r="H1666" s="30">
        <v>1525</v>
      </c>
      <c r="I1666" s="30">
        <f t="shared" si="48"/>
        <v>59475</v>
      </c>
      <c r="J1666" s="33">
        <f t="shared" si="49"/>
        <v>16.813787305590584</v>
      </c>
    </row>
    <row r="1667" spans="6:10" ht="15">
      <c r="F1667" s="30">
        <v>25</v>
      </c>
      <c r="G1667" s="30">
        <v>62</v>
      </c>
      <c r="H1667" s="30">
        <v>1550</v>
      </c>
      <c r="I1667" s="30">
        <f t="shared" si="48"/>
        <v>60450</v>
      </c>
      <c r="J1667" s="33">
        <f t="shared" si="49"/>
        <v>16.542597187758478</v>
      </c>
    </row>
    <row r="1668" spans="6:10" ht="15">
      <c r="F1668" s="30">
        <v>25</v>
      </c>
      <c r="G1668" s="30">
        <v>63</v>
      </c>
      <c r="H1668" s="30">
        <v>1575</v>
      </c>
      <c r="I1668" s="30">
        <f t="shared" si="48"/>
        <v>61425</v>
      </c>
      <c r="J1668" s="33">
        <f t="shared" si="49"/>
        <v>16.28001628001628</v>
      </c>
    </row>
    <row r="1669" spans="6:10" ht="15">
      <c r="F1669" s="30">
        <v>25</v>
      </c>
      <c r="G1669" s="30">
        <v>64</v>
      </c>
      <c r="H1669" s="30">
        <v>1600</v>
      </c>
      <c r="I1669" s="30">
        <f t="shared" si="48"/>
        <v>62400</v>
      </c>
      <c r="J1669" s="33">
        <f t="shared" si="49"/>
        <v>16.025641025641026</v>
      </c>
    </row>
    <row r="1670" spans="6:10" ht="15">
      <c r="F1670" s="30">
        <v>26</v>
      </c>
      <c r="G1670" s="30">
        <v>1</v>
      </c>
      <c r="H1670" s="30">
        <v>25</v>
      </c>
      <c r="I1670" s="30">
        <f t="shared" si="48"/>
        <v>1000</v>
      </c>
      <c r="J1670" s="33">
        <f t="shared" si="49"/>
        <v>1000</v>
      </c>
    </row>
    <row r="1671" spans="6:10" ht="15">
      <c r="F1671" s="30">
        <v>26</v>
      </c>
      <c r="G1671" s="30">
        <v>2</v>
      </c>
      <c r="H1671" s="30">
        <v>50</v>
      </c>
      <c r="I1671" s="30">
        <f t="shared" ref="I1671:I1734" si="50">(14+F1671)*H1671</f>
        <v>2000</v>
      </c>
      <c r="J1671" s="33">
        <f t="shared" ref="J1671:J1734" si="51">(1/I1671)*1000000</f>
        <v>500</v>
      </c>
    </row>
    <row r="1672" spans="6:10" ht="15">
      <c r="F1672" s="30">
        <v>26</v>
      </c>
      <c r="G1672" s="30">
        <v>3</v>
      </c>
      <c r="H1672" s="30">
        <v>75</v>
      </c>
      <c r="I1672" s="30">
        <f t="shared" si="50"/>
        <v>3000</v>
      </c>
      <c r="J1672" s="33">
        <f t="shared" si="51"/>
        <v>333.33333333333331</v>
      </c>
    </row>
    <row r="1673" spans="6:10" ht="15">
      <c r="F1673" s="30">
        <v>26</v>
      </c>
      <c r="G1673" s="30">
        <v>4</v>
      </c>
      <c r="H1673" s="30">
        <v>100</v>
      </c>
      <c r="I1673" s="30">
        <f t="shared" si="50"/>
        <v>4000</v>
      </c>
      <c r="J1673" s="33">
        <f t="shared" si="51"/>
        <v>250</v>
      </c>
    </row>
    <row r="1674" spans="6:10" ht="15">
      <c r="F1674" s="30">
        <v>26</v>
      </c>
      <c r="G1674" s="30">
        <v>5</v>
      </c>
      <c r="H1674" s="30">
        <v>125</v>
      </c>
      <c r="I1674" s="30">
        <f t="shared" si="50"/>
        <v>5000</v>
      </c>
      <c r="J1674" s="33">
        <f t="shared" si="51"/>
        <v>200</v>
      </c>
    </row>
    <row r="1675" spans="6:10" ht="15">
      <c r="F1675" s="30">
        <v>26</v>
      </c>
      <c r="G1675" s="30">
        <v>6</v>
      </c>
      <c r="H1675" s="30">
        <v>150</v>
      </c>
      <c r="I1675" s="30">
        <f t="shared" si="50"/>
        <v>6000</v>
      </c>
      <c r="J1675" s="33">
        <f t="shared" si="51"/>
        <v>166.66666666666666</v>
      </c>
    </row>
    <row r="1676" spans="6:10" ht="15">
      <c r="F1676" s="30">
        <v>26</v>
      </c>
      <c r="G1676" s="30">
        <v>7</v>
      </c>
      <c r="H1676" s="30">
        <v>175</v>
      </c>
      <c r="I1676" s="30">
        <f t="shared" si="50"/>
        <v>7000</v>
      </c>
      <c r="J1676" s="33">
        <f t="shared" si="51"/>
        <v>142.85714285714286</v>
      </c>
    </row>
    <row r="1677" spans="6:10" ht="15">
      <c r="F1677" s="30">
        <v>26</v>
      </c>
      <c r="G1677" s="30">
        <v>8</v>
      </c>
      <c r="H1677" s="30">
        <v>200</v>
      </c>
      <c r="I1677" s="30">
        <f t="shared" si="50"/>
        <v>8000</v>
      </c>
      <c r="J1677" s="33">
        <f t="shared" si="51"/>
        <v>125</v>
      </c>
    </row>
    <row r="1678" spans="6:10" ht="15">
      <c r="F1678" s="30">
        <v>26</v>
      </c>
      <c r="G1678" s="30">
        <v>9</v>
      </c>
      <c r="H1678" s="30">
        <v>225</v>
      </c>
      <c r="I1678" s="30">
        <f t="shared" si="50"/>
        <v>9000</v>
      </c>
      <c r="J1678" s="33">
        <f t="shared" si="51"/>
        <v>111.11111111111111</v>
      </c>
    </row>
    <row r="1679" spans="6:10" ht="15">
      <c r="F1679" s="30">
        <v>26</v>
      </c>
      <c r="G1679" s="30">
        <v>10</v>
      </c>
      <c r="H1679" s="30">
        <v>250</v>
      </c>
      <c r="I1679" s="30">
        <f t="shared" si="50"/>
        <v>10000</v>
      </c>
      <c r="J1679" s="33">
        <f t="shared" si="51"/>
        <v>100</v>
      </c>
    </row>
    <row r="1680" spans="6:10" ht="15">
      <c r="F1680" s="30">
        <v>26</v>
      </c>
      <c r="G1680" s="30">
        <v>11</v>
      </c>
      <c r="H1680" s="30">
        <v>275</v>
      </c>
      <c r="I1680" s="30">
        <f t="shared" si="50"/>
        <v>11000</v>
      </c>
      <c r="J1680" s="33">
        <f t="shared" si="51"/>
        <v>90.909090909090907</v>
      </c>
    </row>
    <row r="1681" spans="6:10" ht="15">
      <c r="F1681" s="30">
        <v>26</v>
      </c>
      <c r="G1681" s="30">
        <v>12</v>
      </c>
      <c r="H1681" s="30">
        <v>300</v>
      </c>
      <c r="I1681" s="30">
        <f t="shared" si="50"/>
        <v>12000</v>
      </c>
      <c r="J1681" s="33">
        <f t="shared" si="51"/>
        <v>83.333333333333329</v>
      </c>
    </row>
    <row r="1682" spans="6:10" ht="15">
      <c r="F1682" s="30">
        <v>26</v>
      </c>
      <c r="G1682" s="30">
        <v>13</v>
      </c>
      <c r="H1682" s="30">
        <v>325</v>
      </c>
      <c r="I1682" s="30">
        <f t="shared" si="50"/>
        <v>13000</v>
      </c>
      <c r="J1682" s="33">
        <f t="shared" si="51"/>
        <v>76.92307692307692</v>
      </c>
    </row>
    <row r="1683" spans="6:10" ht="15">
      <c r="F1683" s="30">
        <v>26</v>
      </c>
      <c r="G1683" s="30">
        <v>14</v>
      </c>
      <c r="H1683" s="30">
        <v>350</v>
      </c>
      <c r="I1683" s="30">
        <f t="shared" si="50"/>
        <v>14000</v>
      </c>
      <c r="J1683" s="33">
        <f t="shared" si="51"/>
        <v>71.428571428571431</v>
      </c>
    </row>
    <row r="1684" spans="6:10" ht="15">
      <c r="F1684" s="30">
        <v>26</v>
      </c>
      <c r="G1684" s="30">
        <v>15</v>
      </c>
      <c r="H1684" s="30">
        <v>375</v>
      </c>
      <c r="I1684" s="30">
        <f t="shared" si="50"/>
        <v>15000</v>
      </c>
      <c r="J1684" s="33">
        <f t="shared" si="51"/>
        <v>66.666666666666671</v>
      </c>
    </row>
    <row r="1685" spans="6:10" ht="15">
      <c r="F1685" s="30">
        <v>26</v>
      </c>
      <c r="G1685" s="30">
        <v>16</v>
      </c>
      <c r="H1685" s="30">
        <v>400</v>
      </c>
      <c r="I1685" s="30">
        <f t="shared" si="50"/>
        <v>16000</v>
      </c>
      <c r="J1685" s="33">
        <f t="shared" si="51"/>
        <v>62.5</v>
      </c>
    </row>
    <row r="1686" spans="6:10" ht="15">
      <c r="F1686" s="30">
        <v>26</v>
      </c>
      <c r="G1686" s="30">
        <v>17</v>
      </c>
      <c r="H1686" s="30">
        <v>425</v>
      </c>
      <c r="I1686" s="30">
        <f t="shared" si="50"/>
        <v>17000</v>
      </c>
      <c r="J1686" s="33">
        <f t="shared" si="51"/>
        <v>58.82352941176471</v>
      </c>
    </row>
    <row r="1687" spans="6:10" ht="15">
      <c r="F1687" s="30">
        <v>26</v>
      </c>
      <c r="G1687" s="30">
        <v>18</v>
      </c>
      <c r="H1687" s="30">
        <v>450</v>
      </c>
      <c r="I1687" s="30">
        <f t="shared" si="50"/>
        <v>18000</v>
      </c>
      <c r="J1687" s="33">
        <f t="shared" si="51"/>
        <v>55.555555555555557</v>
      </c>
    </row>
    <row r="1688" spans="6:10" ht="15">
      <c r="F1688" s="30">
        <v>26</v>
      </c>
      <c r="G1688" s="30">
        <v>19</v>
      </c>
      <c r="H1688" s="30">
        <v>475</v>
      </c>
      <c r="I1688" s="30">
        <f t="shared" si="50"/>
        <v>19000</v>
      </c>
      <c r="J1688" s="33">
        <f t="shared" si="51"/>
        <v>52.631578947368425</v>
      </c>
    </row>
    <row r="1689" spans="6:10" ht="15">
      <c r="F1689" s="30">
        <v>26</v>
      </c>
      <c r="G1689" s="30">
        <v>20</v>
      </c>
      <c r="H1689" s="30">
        <v>500</v>
      </c>
      <c r="I1689" s="30">
        <f t="shared" si="50"/>
        <v>20000</v>
      </c>
      <c r="J1689" s="33">
        <f t="shared" si="51"/>
        <v>50</v>
      </c>
    </row>
    <row r="1690" spans="6:10" ht="15">
      <c r="F1690" s="30">
        <v>26</v>
      </c>
      <c r="G1690" s="30">
        <v>21</v>
      </c>
      <c r="H1690" s="30">
        <v>525</v>
      </c>
      <c r="I1690" s="30">
        <f t="shared" si="50"/>
        <v>21000</v>
      </c>
      <c r="J1690" s="33">
        <f t="shared" si="51"/>
        <v>47.61904761904762</v>
      </c>
    </row>
    <row r="1691" spans="6:10" ht="15">
      <c r="F1691" s="30">
        <v>26</v>
      </c>
      <c r="G1691" s="30">
        <v>22</v>
      </c>
      <c r="H1691" s="30">
        <v>550</v>
      </c>
      <c r="I1691" s="30">
        <f t="shared" si="50"/>
        <v>22000</v>
      </c>
      <c r="J1691" s="33">
        <f t="shared" si="51"/>
        <v>45.454545454545453</v>
      </c>
    </row>
    <row r="1692" spans="6:10" ht="15">
      <c r="F1692" s="30">
        <v>26</v>
      </c>
      <c r="G1692" s="30">
        <v>23</v>
      </c>
      <c r="H1692" s="30">
        <v>575</v>
      </c>
      <c r="I1692" s="30">
        <f t="shared" si="50"/>
        <v>23000</v>
      </c>
      <c r="J1692" s="33">
        <f t="shared" si="51"/>
        <v>43.478260869565219</v>
      </c>
    </row>
    <row r="1693" spans="6:10" ht="15">
      <c r="F1693" s="30">
        <v>26</v>
      </c>
      <c r="G1693" s="30">
        <v>24</v>
      </c>
      <c r="H1693" s="30">
        <v>600</v>
      </c>
      <c r="I1693" s="30">
        <f t="shared" si="50"/>
        <v>24000</v>
      </c>
      <c r="J1693" s="33">
        <f t="shared" si="51"/>
        <v>41.666666666666664</v>
      </c>
    </row>
    <row r="1694" spans="6:10" ht="15">
      <c r="F1694" s="30">
        <v>26</v>
      </c>
      <c r="G1694" s="30">
        <v>25</v>
      </c>
      <c r="H1694" s="30">
        <v>625</v>
      </c>
      <c r="I1694" s="30">
        <f t="shared" si="50"/>
        <v>25000</v>
      </c>
      <c r="J1694" s="33">
        <f t="shared" si="51"/>
        <v>40</v>
      </c>
    </row>
    <row r="1695" spans="6:10" ht="15">
      <c r="F1695" s="30">
        <v>26</v>
      </c>
      <c r="G1695" s="30">
        <v>26</v>
      </c>
      <c r="H1695" s="30">
        <v>650</v>
      </c>
      <c r="I1695" s="30">
        <f t="shared" si="50"/>
        <v>26000</v>
      </c>
      <c r="J1695" s="33">
        <f t="shared" si="51"/>
        <v>38.46153846153846</v>
      </c>
    </row>
    <row r="1696" spans="6:10" ht="15">
      <c r="F1696" s="30">
        <v>26</v>
      </c>
      <c r="G1696" s="30">
        <v>27</v>
      </c>
      <c r="H1696" s="30">
        <v>675</v>
      </c>
      <c r="I1696" s="30">
        <f t="shared" si="50"/>
        <v>27000</v>
      </c>
      <c r="J1696" s="33">
        <f t="shared" si="51"/>
        <v>37.037037037037038</v>
      </c>
    </row>
    <row r="1697" spans="6:10" ht="15">
      <c r="F1697" s="30">
        <v>26</v>
      </c>
      <c r="G1697" s="30">
        <v>28</v>
      </c>
      <c r="H1697" s="30">
        <v>700</v>
      </c>
      <c r="I1697" s="30">
        <f t="shared" si="50"/>
        <v>28000</v>
      </c>
      <c r="J1697" s="33">
        <f t="shared" si="51"/>
        <v>35.714285714285715</v>
      </c>
    </row>
    <row r="1698" spans="6:10" ht="15">
      <c r="F1698" s="30">
        <v>26</v>
      </c>
      <c r="G1698" s="30">
        <v>29</v>
      </c>
      <c r="H1698" s="30">
        <v>725</v>
      </c>
      <c r="I1698" s="30">
        <f t="shared" si="50"/>
        <v>29000</v>
      </c>
      <c r="J1698" s="33">
        <f t="shared" si="51"/>
        <v>34.482758620689658</v>
      </c>
    </row>
    <row r="1699" spans="6:10" ht="15">
      <c r="F1699" s="30">
        <v>26</v>
      </c>
      <c r="G1699" s="30">
        <v>30</v>
      </c>
      <c r="H1699" s="30">
        <v>750</v>
      </c>
      <c r="I1699" s="30">
        <f t="shared" si="50"/>
        <v>30000</v>
      </c>
      <c r="J1699" s="33">
        <f t="shared" si="51"/>
        <v>33.333333333333336</v>
      </c>
    </row>
    <row r="1700" spans="6:10" ht="15">
      <c r="F1700" s="30">
        <v>26</v>
      </c>
      <c r="G1700" s="30">
        <v>31</v>
      </c>
      <c r="H1700" s="30">
        <v>775</v>
      </c>
      <c r="I1700" s="30">
        <f t="shared" si="50"/>
        <v>31000</v>
      </c>
      <c r="J1700" s="33">
        <f t="shared" si="51"/>
        <v>32.258064516129032</v>
      </c>
    </row>
    <row r="1701" spans="6:10" ht="15">
      <c r="F1701" s="30">
        <v>26</v>
      </c>
      <c r="G1701" s="30">
        <v>32</v>
      </c>
      <c r="H1701" s="30">
        <v>800</v>
      </c>
      <c r="I1701" s="30">
        <f t="shared" si="50"/>
        <v>32000</v>
      </c>
      <c r="J1701" s="33">
        <f t="shared" si="51"/>
        <v>31.25</v>
      </c>
    </row>
    <row r="1702" spans="6:10" ht="15">
      <c r="F1702" s="30">
        <v>26</v>
      </c>
      <c r="G1702" s="30">
        <v>33</v>
      </c>
      <c r="H1702" s="30">
        <v>825</v>
      </c>
      <c r="I1702" s="30">
        <f t="shared" si="50"/>
        <v>33000</v>
      </c>
      <c r="J1702" s="33">
        <f t="shared" si="51"/>
        <v>30.303030303030301</v>
      </c>
    </row>
    <row r="1703" spans="6:10" ht="15">
      <c r="F1703" s="30">
        <v>26</v>
      </c>
      <c r="G1703" s="30">
        <v>34</v>
      </c>
      <c r="H1703" s="30">
        <v>850</v>
      </c>
      <c r="I1703" s="30">
        <f t="shared" si="50"/>
        <v>34000</v>
      </c>
      <c r="J1703" s="33">
        <f t="shared" si="51"/>
        <v>29.411764705882355</v>
      </c>
    </row>
    <row r="1704" spans="6:10" ht="15">
      <c r="F1704" s="30">
        <v>26</v>
      </c>
      <c r="G1704" s="30">
        <v>35</v>
      </c>
      <c r="H1704" s="30">
        <v>875</v>
      </c>
      <c r="I1704" s="30">
        <f t="shared" si="50"/>
        <v>35000</v>
      </c>
      <c r="J1704" s="33">
        <f t="shared" si="51"/>
        <v>28.571428571428569</v>
      </c>
    </row>
    <row r="1705" spans="6:10" ht="15">
      <c r="F1705" s="30">
        <v>26</v>
      </c>
      <c r="G1705" s="30">
        <v>36</v>
      </c>
      <c r="H1705" s="30">
        <v>900</v>
      </c>
      <c r="I1705" s="30">
        <f t="shared" si="50"/>
        <v>36000</v>
      </c>
      <c r="J1705" s="33">
        <f t="shared" si="51"/>
        <v>27.777777777777779</v>
      </c>
    </row>
    <row r="1706" spans="6:10" ht="15">
      <c r="F1706" s="30">
        <v>26</v>
      </c>
      <c r="G1706" s="30">
        <v>37</v>
      </c>
      <c r="H1706" s="30">
        <v>925</v>
      </c>
      <c r="I1706" s="30">
        <f t="shared" si="50"/>
        <v>37000</v>
      </c>
      <c r="J1706" s="33">
        <f t="shared" si="51"/>
        <v>27.027027027027028</v>
      </c>
    </row>
    <row r="1707" spans="6:10" ht="15">
      <c r="F1707" s="30">
        <v>26</v>
      </c>
      <c r="G1707" s="30">
        <v>38</v>
      </c>
      <c r="H1707" s="30">
        <v>950</v>
      </c>
      <c r="I1707" s="30">
        <f t="shared" si="50"/>
        <v>38000</v>
      </c>
      <c r="J1707" s="33">
        <f t="shared" si="51"/>
        <v>26.315789473684212</v>
      </c>
    </row>
    <row r="1708" spans="6:10" ht="15">
      <c r="F1708" s="30">
        <v>26</v>
      </c>
      <c r="G1708" s="30">
        <v>39</v>
      </c>
      <c r="H1708" s="30">
        <v>975</v>
      </c>
      <c r="I1708" s="30">
        <f t="shared" si="50"/>
        <v>39000</v>
      </c>
      <c r="J1708" s="33">
        <f t="shared" si="51"/>
        <v>25.641025641025639</v>
      </c>
    </row>
    <row r="1709" spans="6:10" ht="15">
      <c r="F1709" s="30">
        <v>26</v>
      </c>
      <c r="G1709" s="30">
        <v>40</v>
      </c>
      <c r="H1709" s="30">
        <v>1000</v>
      </c>
      <c r="I1709" s="30">
        <f t="shared" si="50"/>
        <v>40000</v>
      </c>
      <c r="J1709" s="33">
        <f t="shared" si="51"/>
        <v>25</v>
      </c>
    </row>
    <row r="1710" spans="6:10" ht="15">
      <c r="F1710" s="30">
        <v>26</v>
      </c>
      <c r="G1710" s="30">
        <v>41</v>
      </c>
      <c r="H1710" s="30">
        <v>1025</v>
      </c>
      <c r="I1710" s="30">
        <f t="shared" si="50"/>
        <v>41000</v>
      </c>
      <c r="J1710" s="33">
        <f t="shared" si="51"/>
        <v>24.390243902439025</v>
      </c>
    </row>
    <row r="1711" spans="6:10" ht="15">
      <c r="F1711" s="30">
        <v>26</v>
      </c>
      <c r="G1711" s="30">
        <v>42</v>
      </c>
      <c r="H1711" s="30">
        <v>1050</v>
      </c>
      <c r="I1711" s="30">
        <f t="shared" si="50"/>
        <v>42000</v>
      </c>
      <c r="J1711" s="33">
        <f t="shared" si="51"/>
        <v>23.80952380952381</v>
      </c>
    </row>
    <row r="1712" spans="6:10" ht="15">
      <c r="F1712" s="30">
        <v>26</v>
      </c>
      <c r="G1712" s="30">
        <v>43</v>
      </c>
      <c r="H1712" s="30">
        <v>1075</v>
      </c>
      <c r="I1712" s="30">
        <f t="shared" si="50"/>
        <v>43000</v>
      </c>
      <c r="J1712" s="33">
        <f t="shared" si="51"/>
        <v>23.255813953488371</v>
      </c>
    </row>
    <row r="1713" spans="6:10" ht="15">
      <c r="F1713" s="30">
        <v>26</v>
      </c>
      <c r="G1713" s="30">
        <v>44</v>
      </c>
      <c r="H1713" s="30">
        <v>1100</v>
      </c>
      <c r="I1713" s="30">
        <f t="shared" si="50"/>
        <v>44000</v>
      </c>
      <c r="J1713" s="33">
        <f t="shared" si="51"/>
        <v>22.727272727272727</v>
      </c>
    </row>
    <row r="1714" spans="6:10" ht="15">
      <c r="F1714" s="30">
        <v>26</v>
      </c>
      <c r="G1714" s="30">
        <v>45</v>
      </c>
      <c r="H1714" s="30">
        <v>1125</v>
      </c>
      <c r="I1714" s="30">
        <f t="shared" si="50"/>
        <v>45000</v>
      </c>
      <c r="J1714" s="33">
        <f t="shared" si="51"/>
        <v>22.222222222222225</v>
      </c>
    </row>
    <row r="1715" spans="6:10" ht="15">
      <c r="F1715" s="30">
        <v>26</v>
      </c>
      <c r="G1715" s="30">
        <v>46</v>
      </c>
      <c r="H1715" s="30">
        <v>1150</v>
      </c>
      <c r="I1715" s="30">
        <f t="shared" si="50"/>
        <v>46000</v>
      </c>
      <c r="J1715" s="33">
        <f t="shared" si="51"/>
        <v>21.739130434782609</v>
      </c>
    </row>
    <row r="1716" spans="6:10" ht="15">
      <c r="F1716" s="30">
        <v>26</v>
      </c>
      <c r="G1716" s="30">
        <v>47</v>
      </c>
      <c r="H1716" s="30">
        <v>1175</v>
      </c>
      <c r="I1716" s="30">
        <f t="shared" si="50"/>
        <v>47000</v>
      </c>
      <c r="J1716" s="33">
        <f t="shared" si="51"/>
        <v>21.276595744680851</v>
      </c>
    </row>
    <row r="1717" spans="6:10" ht="15">
      <c r="F1717" s="30">
        <v>26</v>
      </c>
      <c r="G1717" s="30">
        <v>48</v>
      </c>
      <c r="H1717" s="30">
        <v>1200</v>
      </c>
      <c r="I1717" s="30">
        <f t="shared" si="50"/>
        <v>48000</v>
      </c>
      <c r="J1717" s="33">
        <f t="shared" si="51"/>
        <v>20.833333333333332</v>
      </c>
    </row>
    <row r="1718" spans="6:10" ht="15">
      <c r="F1718" s="30">
        <v>26</v>
      </c>
      <c r="G1718" s="30">
        <v>49</v>
      </c>
      <c r="H1718" s="30">
        <v>1225</v>
      </c>
      <c r="I1718" s="30">
        <f t="shared" si="50"/>
        <v>49000</v>
      </c>
      <c r="J1718" s="33">
        <f t="shared" si="51"/>
        <v>20.408163265306122</v>
      </c>
    </row>
    <row r="1719" spans="6:10" ht="15">
      <c r="F1719" s="30">
        <v>26</v>
      </c>
      <c r="G1719" s="30">
        <v>50</v>
      </c>
      <c r="H1719" s="30">
        <v>1250</v>
      </c>
      <c r="I1719" s="30">
        <f t="shared" si="50"/>
        <v>50000</v>
      </c>
      <c r="J1719" s="33">
        <f t="shared" si="51"/>
        <v>20</v>
      </c>
    </row>
    <row r="1720" spans="6:10" ht="15">
      <c r="F1720" s="30">
        <v>26</v>
      </c>
      <c r="G1720" s="30">
        <v>51</v>
      </c>
      <c r="H1720" s="30">
        <v>1275</v>
      </c>
      <c r="I1720" s="30">
        <f t="shared" si="50"/>
        <v>51000</v>
      </c>
      <c r="J1720" s="33">
        <f t="shared" si="51"/>
        <v>19.607843137254903</v>
      </c>
    </row>
    <row r="1721" spans="6:10" ht="15">
      <c r="F1721" s="30">
        <v>26</v>
      </c>
      <c r="G1721" s="30">
        <v>52</v>
      </c>
      <c r="H1721" s="30">
        <v>1300</v>
      </c>
      <c r="I1721" s="30">
        <f t="shared" si="50"/>
        <v>52000</v>
      </c>
      <c r="J1721" s="33">
        <f t="shared" si="51"/>
        <v>19.23076923076923</v>
      </c>
    </row>
    <row r="1722" spans="6:10" ht="15">
      <c r="F1722" s="30">
        <v>26</v>
      </c>
      <c r="G1722" s="30">
        <v>53</v>
      </c>
      <c r="H1722" s="30">
        <v>1325</v>
      </c>
      <c r="I1722" s="30">
        <f t="shared" si="50"/>
        <v>53000</v>
      </c>
      <c r="J1722" s="33">
        <f t="shared" si="51"/>
        <v>18.867924528301888</v>
      </c>
    </row>
    <row r="1723" spans="6:10" ht="15">
      <c r="F1723" s="30">
        <v>26</v>
      </c>
      <c r="G1723" s="30">
        <v>54</v>
      </c>
      <c r="H1723" s="30">
        <v>1350</v>
      </c>
      <c r="I1723" s="30">
        <f t="shared" si="50"/>
        <v>54000</v>
      </c>
      <c r="J1723" s="33">
        <f t="shared" si="51"/>
        <v>18.518518518518519</v>
      </c>
    </row>
    <row r="1724" spans="6:10" ht="15">
      <c r="F1724" s="30">
        <v>26</v>
      </c>
      <c r="G1724" s="30">
        <v>55</v>
      </c>
      <c r="H1724" s="30">
        <v>1375</v>
      </c>
      <c r="I1724" s="30">
        <f t="shared" si="50"/>
        <v>55000</v>
      </c>
      <c r="J1724" s="33">
        <f t="shared" si="51"/>
        <v>18.181818181818183</v>
      </c>
    </row>
    <row r="1725" spans="6:10" ht="15">
      <c r="F1725" s="30">
        <v>26</v>
      </c>
      <c r="G1725" s="30">
        <v>56</v>
      </c>
      <c r="H1725" s="30">
        <v>1400</v>
      </c>
      <c r="I1725" s="30">
        <f t="shared" si="50"/>
        <v>56000</v>
      </c>
      <c r="J1725" s="33">
        <f t="shared" si="51"/>
        <v>17.857142857142858</v>
      </c>
    </row>
    <row r="1726" spans="6:10" ht="15">
      <c r="F1726" s="30">
        <v>26</v>
      </c>
      <c r="G1726" s="30">
        <v>57</v>
      </c>
      <c r="H1726" s="30">
        <v>1425</v>
      </c>
      <c r="I1726" s="30">
        <f t="shared" si="50"/>
        <v>57000</v>
      </c>
      <c r="J1726" s="33">
        <f t="shared" si="51"/>
        <v>17.543859649122805</v>
      </c>
    </row>
    <row r="1727" spans="6:10" ht="15">
      <c r="F1727" s="30">
        <v>26</v>
      </c>
      <c r="G1727" s="30">
        <v>58</v>
      </c>
      <c r="H1727" s="30">
        <v>1450</v>
      </c>
      <c r="I1727" s="30">
        <f t="shared" si="50"/>
        <v>58000</v>
      </c>
      <c r="J1727" s="33">
        <f t="shared" si="51"/>
        <v>17.241379310344829</v>
      </c>
    </row>
    <row r="1728" spans="6:10" ht="15">
      <c r="F1728" s="30">
        <v>26</v>
      </c>
      <c r="G1728" s="30">
        <v>59</v>
      </c>
      <c r="H1728" s="30">
        <v>1475</v>
      </c>
      <c r="I1728" s="30">
        <f t="shared" si="50"/>
        <v>59000</v>
      </c>
      <c r="J1728" s="33">
        <f t="shared" si="51"/>
        <v>16.949152542372882</v>
      </c>
    </row>
    <row r="1729" spans="6:10" ht="15">
      <c r="F1729" s="30">
        <v>26</v>
      </c>
      <c r="G1729" s="30">
        <v>60</v>
      </c>
      <c r="H1729" s="30">
        <v>1500</v>
      </c>
      <c r="I1729" s="30">
        <f t="shared" si="50"/>
        <v>60000</v>
      </c>
      <c r="J1729" s="33">
        <f t="shared" si="51"/>
        <v>16.666666666666668</v>
      </c>
    </row>
    <row r="1730" spans="6:10" ht="15">
      <c r="F1730" s="30">
        <v>26</v>
      </c>
      <c r="G1730" s="30">
        <v>61</v>
      </c>
      <c r="H1730" s="30">
        <v>1525</v>
      </c>
      <c r="I1730" s="30">
        <f t="shared" si="50"/>
        <v>61000</v>
      </c>
      <c r="J1730" s="33">
        <f t="shared" si="51"/>
        <v>16.393442622950822</v>
      </c>
    </row>
    <row r="1731" spans="6:10" ht="15">
      <c r="F1731" s="30">
        <v>26</v>
      </c>
      <c r="G1731" s="30">
        <v>62</v>
      </c>
      <c r="H1731" s="30">
        <v>1550</v>
      </c>
      <c r="I1731" s="30">
        <f t="shared" si="50"/>
        <v>62000</v>
      </c>
      <c r="J1731" s="33">
        <f t="shared" si="51"/>
        <v>16.129032258064516</v>
      </c>
    </row>
    <row r="1732" spans="6:10" ht="15">
      <c r="F1732" s="30">
        <v>26</v>
      </c>
      <c r="G1732" s="30">
        <v>63</v>
      </c>
      <c r="H1732" s="30">
        <v>1575</v>
      </c>
      <c r="I1732" s="30">
        <f t="shared" si="50"/>
        <v>63000</v>
      </c>
      <c r="J1732" s="33">
        <f t="shared" si="51"/>
        <v>15.873015873015872</v>
      </c>
    </row>
    <row r="1733" spans="6:10" ht="15">
      <c r="F1733" s="30">
        <v>26</v>
      </c>
      <c r="G1733" s="30">
        <v>64</v>
      </c>
      <c r="H1733" s="30">
        <v>1600</v>
      </c>
      <c r="I1733" s="30">
        <f t="shared" si="50"/>
        <v>64000</v>
      </c>
      <c r="J1733" s="33">
        <f t="shared" si="51"/>
        <v>15.625</v>
      </c>
    </row>
    <row r="1734" spans="6:10" ht="15">
      <c r="F1734" s="30">
        <v>27</v>
      </c>
      <c r="G1734" s="30">
        <v>1</v>
      </c>
      <c r="H1734" s="30">
        <v>25</v>
      </c>
      <c r="I1734" s="30">
        <f t="shared" si="50"/>
        <v>1025</v>
      </c>
      <c r="J1734" s="33">
        <f t="shared" si="51"/>
        <v>975.60975609756099</v>
      </c>
    </row>
    <row r="1735" spans="6:10" ht="15">
      <c r="F1735" s="30">
        <v>27</v>
      </c>
      <c r="G1735" s="30">
        <v>2</v>
      </c>
      <c r="H1735" s="30">
        <v>50</v>
      </c>
      <c r="I1735" s="30">
        <f t="shared" ref="I1735:I1798" si="52">(14+F1735)*H1735</f>
        <v>2050</v>
      </c>
      <c r="J1735" s="33">
        <f t="shared" ref="J1735:J1798" si="53">(1/I1735)*1000000</f>
        <v>487.80487804878049</v>
      </c>
    </row>
    <row r="1736" spans="6:10" ht="15">
      <c r="F1736" s="30">
        <v>27</v>
      </c>
      <c r="G1736" s="30">
        <v>3</v>
      </c>
      <c r="H1736" s="30">
        <v>75</v>
      </c>
      <c r="I1736" s="30">
        <f t="shared" si="52"/>
        <v>3075</v>
      </c>
      <c r="J1736" s="33">
        <f t="shared" si="53"/>
        <v>325.20325203252031</v>
      </c>
    </row>
    <row r="1737" spans="6:10" ht="15">
      <c r="F1737" s="30">
        <v>27</v>
      </c>
      <c r="G1737" s="30">
        <v>4</v>
      </c>
      <c r="H1737" s="30">
        <v>100</v>
      </c>
      <c r="I1737" s="30">
        <f t="shared" si="52"/>
        <v>4100</v>
      </c>
      <c r="J1737" s="33">
        <f t="shared" si="53"/>
        <v>243.90243902439025</v>
      </c>
    </row>
    <row r="1738" spans="6:10" ht="15">
      <c r="F1738" s="30">
        <v>27</v>
      </c>
      <c r="G1738" s="30">
        <v>5</v>
      </c>
      <c r="H1738" s="30">
        <v>125</v>
      </c>
      <c r="I1738" s="30">
        <f t="shared" si="52"/>
        <v>5125</v>
      </c>
      <c r="J1738" s="33">
        <f t="shared" si="53"/>
        <v>195.1219512195122</v>
      </c>
    </row>
    <row r="1739" spans="6:10" ht="15">
      <c r="F1739" s="30">
        <v>27</v>
      </c>
      <c r="G1739" s="30">
        <v>6</v>
      </c>
      <c r="H1739" s="30">
        <v>150</v>
      </c>
      <c r="I1739" s="30">
        <f t="shared" si="52"/>
        <v>6150</v>
      </c>
      <c r="J1739" s="33">
        <f t="shared" si="53"/>
        <v>162.60162601626016</v>
      </c>
    </row>
    <row r="1740" spans="6:10" ht="15">
      <c r="F1740" s="30">
        <v>27</v>
      </c>
      <c r="G1740" s="30">
        <v>7</v>
      </c>
      <c r="H1740" s="30">
        <v>175</v>
      </c>
      <c r="I1740" s="30">
        <f t="shared" si="52"/>
        <v>7175</v>
      </c>
      <c r="J1740" s="33">
        <f t="shared" si="53"/>
        <v>139.37282229965157</v>
      </c>
    </row>
    <row r="1741" spans="6:10" ht="15">
      <c r="F1741" s="30">
        <v>27</v>
      </c>
      <c r="G1741" s="30">
        <v>8</v>
      </c>
      <c r="H1741" s="30">
        <v>200</v>
      </c>
      <c r="I1741" s="30">
        <f t="shared" si="52"/>
        <v>8200</v>
      </c>
      <c r="J1741" s="33">
        <f t="shared" si="53"/>
        <v>121.95121951219512</v>
      </c>
    </row>
    <row r="1742" spans="6:10" ht="15">
      <c r="F1742" s="30">
        <v>27</v>
      </c>
      <c r="G1742" s="30">
        <v>9</v>
      </c>
      <c r="H1742" s="30">
        <v>225</v>
      </c>
      <c r="I1742" s="30">
        <f t="shared" si="52"/>
        <v>9225</v>
      </c>
      <c r="J1742" s="33">
        <f t="shared" si="53"/>
        <v>108.40108401084011</v>
      </c>
    </row>
    <row r="1743" spans="6:10" ht="15">
      <c r="F1743" s="30">
        <v>27</v>
      </c>
      <c r="G1743" s="30">
        <v>10</v>
      </c>
      <c r="H1743" s="30">
        <v>250</v>
      </c>
      <c r="I1743" s="30">
        <f t="shared" si="52"/>
        <v>10250</v>
      </c>
      <c r="J1743" s="33">
        <f t="shared" si="53"/>
        <v>97.560975609756099</v>
      </c>
    </row>
    <row r="1744" spans="6:10" ht="15">
      <c r="F1744" s="30">
        <v>27</v>
      </c>
      <c r="G1744" s="30">
        <v>11</v>
      </c>
      <c r="H1744" s="30">
        <v>275</v>
      </c>
      <c r="I1744" s="30">
        <f t="shared" si="52"/>
        <v>11275</v>
      </c>
      <c r="J1744" s="33">
        <f t="shared" si="53"/>
        <v>88.691796008869176</v>
      </c>
    </row>
    <row r="1745" spans="6:10" ht="15">
      <c r="F1745" s="30">
        <v>27</v>
      </c>
      <c r="G1745" s="30">
        <v>12</v>
      </c>
      <c r="H1745" s="30">
        <v>300</v>
      </c>
      <c r="I1745" s="30">
        <f t="shared" si="52"/>
        <v>12300</v>
      </c>
      <c r="J1745" s="33">
        <f t="shared" si="53"/>
        <v>81.300813008130078</v>
      </c>
    </row>
    <row r="1746" spans="6:10" ht="15">
      <c r="F1746" s="30">
        <v>27</v>
      </c>
      <c r="G1746" s="30">
        <v>13</v>
      </c>
      <c r="H1746" s="30">
        <v>325</v>
      </c>
      <c r="I1746" s="30">
        <f t="shared" si="52"/>
        <v>13325</v>
      </c>
      <c r="J1746" s="33">
        <f t="shared" si="53"/>
        <v>75.046904315196997</v>
      </c>
    </row>
    <row r="1747" spans="6:10" ht="15">
      <c r="F1747" s="30">
        <v>27</v>
      </c>
      <c r="G1747" s="30">
        <v>14</v>
      </c>
      <c r="H1747" s="30">
        <v>350</v>
      </c>
      <c r="I1747" s="30">
        <f t="shared" si="52"/>
        <v>14350</v>
      </c>
      <c r="J1747" s="33">
        <f t="shared" si="53"/>
        <v>69.686411149825787</v>
      </c>
    </row>
    <row r="1748" spans="6:10" ht="15">
      <c r="F1748" s="30">
        <v>27</v>
      </c>
      <c r="G1748" s="30">
        <v>15</v>
      </c>
      <c r="H1748" s="30">
        <v>375</v>
      </c>
      <c r="I1748" s="30">
        <f t="shared" si="52"/>
        <v>15375</v>
      </c>
      <c r="J1748" s="33">
        <f t="shared" si="53"/>
        <v>65.040650406504056</v>
      </c>
    </row>
    <row r="1749" spans="6:10" ht="15">
      <c r="F1749" s="30">
        <v>27</v>
      </c>
      <c r="G1749" s="30">
        <v>16</v>
      </c>
      <c r="H1749" s="30">
        <v>400</v>
      </c>
      <c r="I1749" s="30">
        <f t="shared" si="52"/>
        <v>16400</v>
      </c>
      <c r="J1749" s="33">
        <f t="shared" si="53"/>
        <v>60.975609756097562</v>
      </c>
    </row>
    <row r="1750" spans="6:10" ht="15">
      <c r="F1750" s="30">
        <v>27</v>
      </c>
      <c r="G1750" s="30">
        <v>17</v>
      </c>
      <c r="H1750" s="30">
        <v>425</v>
      </c>
      <c r="I1750" s="30">
        <f t="shared" si="52"/>
        <v>17425</v>
      </c>
      <c r="J1750" s="33">
        <f t="shared" si="53"/>
        <v>57.388809182209471</v>
      </c>
    </row>
    <row r="1751" spans="6:10" ht="15">
      <c r="F1751" s="30">
        <v>27</v>
      </c>
      <c r="G1751" s="30">
        <v>18</v>
      </c>
      <c r="H1751" s="30">
        <v>450</v>
      </c>
      <c r="I1751" s="30">
        <f t="shared" si="52"/>
        <v>18450</v>
      </c>
      <c r="J1751" s="33">
        <f t="shared" si="53"/>
        <v>54.200542005420054</v>
      </c>
    </row>
    <row r="1752" spans="6:10" ht="15">
      <c r="F1752" s="30">
        <v>27</v>
      </c>
      <c r="G1752" s="30">
        <v>19</v>
      </c>
      <c r="H1752" s="30">
        <v>475</v>
      </c>
      <c r="I1752" s="30">
        <f t="shared" si="52"/>
        <v>19475</v>
      </c>
      <c r="J1752" s="33">
        <f t="shared" si="53"/>
        <v>51.347881899871631</v>
      </c>
    </row>
    <row r="1753" spans="6:10" ht="15">
      <c r="F1753" s="30">
        <v>27</v>
      </c>
      <c r="G1753" s="30">
        <v>20</v>
      </c>
      <c r="H1753" s="30">
        <v>500</v>
      </c>
      <c r="I1753" s="30">
        <f t="shared" si="52"/>
        <v>20500</v>
      </c>
      <c r="J1753" s="33">
        <f t="shared" si="53"/>
        <v>48.780487804878049</v>
      </c>
    </row>
    <row r="1754" spans="6:10" ht="15">
      <c r="F1754" s="30">
        <v>27</v>
      </c>
      <c r="G1754" s="30">
        <v>21</v>
      </c>
      <c r="H1754" s="30">
        <v>525</v>
      </c>
      <c r="I1754" s="30">
        <f t="shared" si="52"/>
        <v>21525</v>
      </c>
      <c r="J1754" s="33">
        <f t="shared" si="53"/>
        <v>46.457607433217191</v>
      </c>
    </row>
    <row r="1755" spans="6:10" ht="15">
      <c r="F1755" s="30">
        <v>27</v>
      </c>
      <c r="G1755" s="30">
        <v>22</v>
      </c>
      <c r="H1755" s="30">
        <v>550</v>
      </c>
      <c r="I1755" s="30">
        <f t="shared" si="52"/>
        <v>22550</v>
      </c>
      <c r="J1755" s="33">
        <f t="shared" si="53"/>
        <v>44.345898004434588</v>
      </c>
    </row>
    <row r="1756" spans="6:10" ht="15">
      <c r="F1756" s="30">
        <v>27</v>
      </c>
      <c r="G1756" s="30">
        <v>23</v>
      </c>
      <c r="H1756" s="30">
        <v>575</v>
      </c>
      <c r="I1756" s="30">
        <f t="shared" si="52"/>
        <v>23575</v>
      </c>
      <c r="J1756" s="33">
        <f t="shared" si="53"/>
        <v>42.417815482502647</v>
      </c>
    </row>
    <row r="1757" spans="6:10" ht="15">
      <c r="F1757" s="30">
        <v>27</v>
      </c>
      <c r="G1757" s="30">
        <v>24</v>
      </c>
      <c r="H1757" s="30">
        <v>600</v>
      </c>
      <c r="I1757" s="30">
        <f t="shared" si="52"/>
        <v>24600</v>
      </c>
      <c r="J1757" s="33">
        <f t="shared" si="53"/>
        <v>40.650406504065039</v>
      </c>
    </row>
    <row r="1758" spans="6:10" ht="15">
      <c r="F1758" s="30">
        <v>27</v>
      </c>
      <c r="G1758" s="30">
        <v>25</v>
      </c>
      <c r="H1758" s="30">
        <v>625</v>
      </c>
      <c r="I1758" s="30">
        <f t="shared" si="52"/>
        <v>25625</v>
      </c>
      <c r="J1758" s="33">
        <f t="shared" si="53"/>
        <v>39.024390243902438</v>
      </c>
    </row>
    <row r="1759" spans="6:10" ht="15">
      <c r="F1759" s="30">
        <v>27</v>
      </c>
      <c r="G1759" s="30">
        <v>26</v>
      </c>
      <c r="H1759" s="30">
        <v>650</v>
      </c>
      <c r="I1759" s="30">
        <f t="shared" si="52"/>
        <v>26650</v>
      </c>
      <c r="J1759" s="33">
        <f t="shared" si="53"/>
        <v>37.523452157598499</v>
      </c>
    </row>
    <row r="1760" spans="6:10" ht="15">
      <c r="F1760" s="30">
        <v>27</v>
      </c>
      <c r="G1760" s="30">
        <v>27</v>
      </c>
      <c r="H1760" s="30">
        <v>675</v>
      </c>
      <c r="I1760" s="30">
        <f t="shared" si="52"/>
        <v>27675</v>
      </c>
      <c r="J1760" s="33">
        <f t="shared" si="53"/>
        <v>36.133694670280036</v>
      </c>
    </row>
    <row r="1761" spans="6:10" ht="15">
      <c r="F1761" s="30">
        <v>27</v>
      </c>
      <c r="G1761" s="30">
        <v>28</v>
      </c>
      <c r="H1761" s="30">
        <v>700</v>
      </c>
      <c r="I1761" s="30">
        <f t="shared" si="52"/>
        <v>28700</v>
      </c>
      <c r="J1761" s="33">
        <f t="shared" si="53"/>
        <v>34.843205574912893</v>
      </c>
    </row>
    <row r="1762" spans="6:10" ht="15">
      <c r="F1762" s="30">
        <v>27</v>
      </c>
      <c r="G1762" s="30">
        <v>29</v>
      </c>
      <c r="H1762" s="30">
        <v>725</v>
      </c>
      <c r="I1762" s="30">
        <f t="shared" si="52"/>
        <v>29725</v>
      </c>
      <c r="J1762" s="33">
        <f t="shared" si="53"/>
        <v>33.641715727502103</v>
      </c>
    </row>
    <row r="1763" spans="6:10" ht="15">
      <c r="F1763" s="30">
        <v>27</v>
      </c>
      <c r="G1763" s="30">
        <v>30</v>
      </c>
      <c r="H1763" s="30">
        <v>750</v>
      </c>
      <c r="I1763" s="30">
        <f t="shared" si="52"/>
        <v>30750</v>
      </c>
      <c r="J1763" s="33">
        <f t="shared" si="53"/>
        <v>32.520325203252028</v>
      </c>
    </row>
    <row r="1764" spans="6:10" ht="15">
      <c r="F1764" s="30">
        <v>27</v>
      </c>
      <c r="G1764" s="30">
        <v>31</v>
      </c>
      <c r="H1764" s="30">
        <v>775</v>
      </c>
      <c r="I1764" s="30">
        <f t="shared" si="52"/>
        <v>31775</v>
      </c>
      <c r="J1764" s="33">
        <f t="shared" si="53"/>
        <v>31.471282454760033</v>
      </c>
    </row>
    <row r="1765" spans="6:10" ht="15">
      <c r="F1765" s="30">
        <v>27</v>
      </c>
      <c r="G1765" s="30">
        <v>32</v>
      </c>
      <c r="H1765" s="30">
        <v>800</v>
      </c>
      <c r="I1765" s="30">
        <f t="shared" si="52"/>
        <v>32800</v>
      </c>
      <c r="J1765" s="33">
        <f t="shared" si="53"/>
        <v>30.487804878048781</v>
      </c>
    </row>
    <row r="1766" spans="6:10" ht="15">
      <c r="F1766" s="30">
        <v>27</v>
      </c>
      <c r="G1766" s="30">
        <v>33</v>
      </c>
      <c r="H1766" s="30">
        <v>825</v>
      </c>
      <c r="I1766" s="30">
        <f t="shared" si="52"/>
        <v>33825</v>
      </c>
      <c r="J1766" s="33">
        <f t="shared" si="53"/>
        <v>29.563932002956392</v>
      </c>
    </row>
    <row r="1767" spans="6:10" ht="15">
      <c r="F1767" s="30">
        <v>27</v>
      </c>
      <c r="G1767" s="30">
        <v>34</v>
      </c>
      <c r="H1767" s="30">
        <v>850</v>
      </c>
      <c r="I1767" s="30">
        <f t="shared" si="52"/>
        <v>34850</v>
      </c>
      <c r="J1767" s="33">
        <f t="shared" si="53"/>
        <v>28.694404591104735</v>
      </c>
    </row>
    <row r="1768" spans="6:10" ht="15">
      <c r="F1768" s="30">
        <v>27</v>
      </c>
      <c r="G1768" s="30">
        <v>35</v>
      </c>
      <c r="H1768" s="30">
        <v>875</v>
      </c>
      <c r="I1768" s="30">
        <f t="shared" si="52"/>
        <v>35875</v>
      </c>
      <c r="J1768" s="33">
        <f t="shared" si="53"/>
        <v>27.874564459930312</v>
      </c>
    </row>
    <row r="1769" spans="6:10" ht="15">
      <c r="F1769" s="30">
        <v>27</v>
      </c>
      <c r="G1769" s="30">
        <v>36</v>
      </c>
      <c r="H1769" s="30">
        <v>900</v>
      </c>
      <c r="I1769" s="30">
        <f t="shared" si="52"/>
        <v>36900</v>
      </c>
      <c r="J1769" s="33">
        <f t="shared" si="53"/>
        <v>27.100271002710027</v>
      </c>
    </row>
    <row r="1770" spans="6:10" ht="15">
      <c r="F1770" s="30">
        <v>27</v>
      </c>
      <c r="G1770" s="30">
        <v>37</v>
      </c>
      <c r="H1770" s="30">
        <v>925</v>
      </c>
      <c r="I1770" s="30">
        <f t="shared" si="52"/>
        <v>37925</v>
      </c>
      <c r="J1770" s="33">
        <f t="shared" si="53"/>
        <v>26.367831245880026</v>
      </c>
    </row>
    <row r="1771" spans="6:10" ht="15">
      <c r="F1771" s="30">
        <v>27</v>
      </c>
      <c r="G1771" s="30">
        <v>38</v>
      </c>
      <c r="H1771" s="30">
        <v>950</v>
      </c>
      <c r="I1771" s="30">
        <f t="shared" si="52"/>
        <v>38950</v>
      </c>
      <c r="J1771" s="33">
        <f t="shared" si="53"/>
        <v>25.673940949935815</v>
      </c>
    </row>
    <row r="1772" spans="6:10" ht="15">
      <c r="F1772" s="30">
        <v>27</v>
      </c>
      <c r="G1772" s="30">
        <v>39</v>
      </c>
      <c r="H1772" s="30">
        <v>975</v>
      </c>
      <c r="I1772" s="30">
        <f t="shared" si="52"/>
        <v>39975</v>
      </c>
      <c r="J1772" s="33">
        <f t="shared" si="53"/>
        <v>25.015634771732334</v>
      </c>
    </row>
    <row r="1773" spans="6:10" ht="15">
      <c r="F1773" s="30">
        <v>27</v>
      </c>
      <c r="G1773" s="30">
        <v>40</v>
      </c>
      <c r="H1773" s="30">
        <v>1000</v>
      </c>
      <c r="I1773" s="30">
        <f t="shared" si="52"/>
        <v>41000</v>
      </c>
      <c r="J1773" s="33">
        <f t="shared" si="53"/>
        <v>24.390243902439025</v>
      </c>
    </row>
    <row r="1774" spans="6:10" ht="15">
      <c r="F1774" s="30">
        <v>27</v>
      </c>
      <c r="G1774" s="30">
        <v>41</v>
      </c>
      <c r="H1774" s="30">
        <v>1025</v>
      </c>
      <c r="I1774" s="30">
        <f t="shared" si="52"/>
        <v>42025</v>
      </c>
      <c r="J1774" s="33">
        <f t="shared" si="53"/>
        <v>23.795359904818561</v>
      </c>
    </row>
    <row r="1775" spans="6:10" ht="15">
      <c r="F1775" s="30">
        <v>27</v>
      </c>
      <c r="G1775" s="30">
        <v>42</v>
      </c>
      <c r="H1775" s="30">
        <v>1050</v>
      </c>
      <c r="I1775" s="30">
        <f t="shared" si="52"/>
        <v>43050</v>
      </c>
      <c r="J1775" s="33">
        <f t="shared" si="53"/>
        <v>23.228803716608596</v>
      </c>
    </row>
    <row r="1776" spans="6:10" ht="15">
      <c r="F1776" s="30">
        <v>27</v>
      </c>
      <c r="G1776" s="30">
        <v>43</v>
      </c>
      <c r="H1776" s="30">
        <v>1075</v>
      </c>
      <c r="I1776" s="30">
        <f t="shared" si="52"/>
        <v>44075</v>
      </c>
      <c r="J1776" s="33">
        <f t="shared" si="53"/>
        <v>22.688598979013047</v>
      </c>
    </row>
    <row r="1777" spans="6:10" ht="15">
      <c r="F1777" s="30">
        <v>27</v>
      </c>
      <c r="G1777" s="30">
        <v>44</v>
      </c>
      <c r="H1777" s="30">
        <v>1100</v>
      </c>
      <c r="I1777" s="30">
        <f t="shared" si="52"/>
        <v>45100</v>
      </c>
      <c r="J1777" s="33">
        <f t="shared" si="53"/>
        <v>22.172949002217294</v>
      </c>
    </row>
    <row r="1778" spans="6:10" ht="15">
      <c r="F1778" s="30">
        <v>27</v>
      </c>
      <c r="G1778" s="30">
        <v>45</v>
      </c>
      <c r="H1778" s="30">
        <v>1125</v>
      </c>
      <c r="I1778" s="30">
        <f t="shared" si="52"/>
        <v>46125</v>
      </c>
      <c r="J1778" s="33">
        <f t="shared" si="53"/>
        <v>21.680216802168022</v>
      </c>
    </row>
    <row r="1779" spans="6:10" ht="15">
      <c r="F1779" s="30">
        <v>27</v>
      </c>
      <c r="G1779" s="30">
        <v>46</v>
      </c>
      <c r="H1779" s="30">
        <v>1150</v>
      </c>
      <c r="I1779" s="30">
        <f t="shared" si="52"/>
        <v>47150</v>
      </c>
      <c r="J1779" s="33">
        <f t="shared" si="53"/>
        <v>21.208907741251323</v>
      </c>
    </row>
    <row r="1780" spans="6:10" ht="15">
      <c r="F1780" s="30">
        <v>27</v>
      </c>
      <c r="G1780" s="30">
        <v>47</v>
      </c>
      <c r="H1780" s="30">
        <v>1175</v>
      </c>
      <c r="I1780" s="30">
        <f t="shared" si="52"/>
        <v>48175</v>
      </c>
      <c r="J1780" s="33">
        <f t="shared" si="53"/>
        <v>20.75765438505449</v>
      </c>
    </row>
    <row r="1781" spans="6:10" ht="15">
      <c r="F1781" s="30">
        <v>27</v>
      </c>
      <c r="G1781" s="30">
        <v>48</v>
      </c>
      <c r="H1781" s="30">
        <v>1200</v>
      </c>
      <c r="I1781" s="30">
        <f t="shared" si="52"/>
        <v>49200</v>
      </c>
      <c r="J1781" s="33">
        <f t="shared" si="53"/>
        <v>20.325203252032519</v>
      </c>
    </row>
    <row r="1782" spans="6:10" ht="15">
      <c r="F1782" s="30">
        <v>27</v>
      </c>
      <c r="G1782" s="30">
        <v>49</v>
      </c>
      <c r="H1782" s="30">
        <v>1225</v>
      </c>
      <c r="I1782" s="30">
        <f t="shared" si="52"/>
        <v>50225</v>
      </c>
      <c r="J1782" s="33">
        <f t="shared" si="53"/>
        <v>19.91040318566451</v>
      </c>
    </row>
    <row r="1783" spans="6:10" ht="15">
      <c r="F1783" s="30">
        <v>27</v>
      </c>
      <c r="G1783" s="30">
        <v>50</v>
      </c>
      <c r="H1783" s="30">
        <v>1250</v>
      </c>
      <c r="I1783" s="30">
        <f t="shared" si="52"/>
        <v>51250</v>
      </c>
      <c r="J1783" s="33">
        <f t="shared" si="53"/>
        <v>19.512195121951219</v>
      </c>
    </row>
    <row r="1784" spans="6:10" ht="15">
      <c r="F1784" s="30">
        <v>27</v>
      </c>
      <c r="G1784" s="30">
        <v>51</v>
      </c>
      <c r="H1784" s="30">
        <v>1275</v>
      </c>
      <c r="I1784" s="30">
        <f t="shared" si="52"/>
        <v>52275</v>
      </c>
      <c r="J1784" s="33">
        <f t="shared" si="53"/>
        <v>19.129603060736489</v>
      </c>
    </row>
    <row r="1785" spans="6:10" ht="15">
      <c r="F1785" s="30">
        <v>27</v>
      </c>
      <c r="G1785" s="30">
        <v>52</v>
      </c>
      <c r="H1785" s="30">
        <v>1300</v>
      </c>
      <c r="I1785" s="30">
        <f t="shared" si="52"/>
        <v>53300</v>
      </c>
      <c r="J1785" s="33">
        <f t="shared" si="53"/>
        <v>18.761726078799249</v>
      </c>
    </row>
    <row r="1786" spans="6:10" ht="15">
      <c r="F1786" s="30">
        <v>27</v>
      </c>
      <c r="G1786" s="30">
        <v>53</v>
      </c>
      <c r="H1786" s="30">
        <v>1325</v>
      </c>
      <c r="I1786" s="30">
        <f t="shared" si="52"/>
        <v>54325</v>
      </c>
      <c r="J1786" s="33">
        <f t="shared" si="53"/>
        <v>18.407731247123792</v>
      </c>
    </row>
    <row r="1787" spans="6:10" ht="15">
      <c r="F1787" s="30">
        <v>27</v>
      </c>
      <c r="G1787" s="30">
        <v>54</v>
      </c>
      <c r="H1787" s="30">
        <v>1350</v>
      </c>
      <c r="I1787" s="30">
        <f t="shared" si="52"/>
        <v>55350</v>
      </c>
      <c r="J1787" s="33">
        <f t="shared" si="53"/>
        <v>18.066847335140018</v>
      </c>
    </row>
    <row r="1788" spans="6:10" ht="15">
      <c r="F1788" s="30">
        <v>27</v>
      </c>
      <c r="G1788" s="30">
        <v>55</v>
      </c>
      <c r="H1788" s="30">
        <v>1375</v>
      </c>
      <c r="I1788" s="30">
        <f t="shared" si="52"/>
        <v>56375</v>
      </c>
      <c r="J1788" s="33">
        <f t="shared" si="53"/>
        <v>17.738359201773836</v>
      </c>
    </row>
    <row r="1789" spans="6:10" ht="15">
      <c r="F1789" s="30">
        <v>27</v>
      </c>
      <c r="G1789" s="30">
        <v>56</v>
      </c>
      <c r="H1789" s="30">
        <v>1400</v>
      </c>
      <c r="I1789" s="30">
        <f t="shared" si="52"/>
        <v>57400</v>
      </c>
      <c r="J1789" s="33">
        <f t="shared" si="53"/>
        <v>17.421602787456447</v>
      </c>
    </row>
    <row r="1790" spans="6:10" ht="15">
      <c r="F1790" s="30">
        <v>27</v>
      </c>
      <c r="G1790" s="30">
        <v>57</v>
      </c>
      <c r="H1790" s="30">
        <v>1425</v>
      </c>
      <c r="I1790" s="30">
        <f t="shared" si="52"/>
        <v>58425</v>
      </c>
      <c r="J1790" s="33">
        <f t="shared" si="53"/>
        <v>17.115960633290545</v>
      </c>
    </row>
    <row r="1791" spans="6:10" ht="15">
      <c r="F1791" s="30">
        <v>27</v>
      </c>
      <c r="G1791" s="30">
        <v>58</v>
      </c>
      <c r="H1791" s="30">
        <v>1450</v>
      </c>
      <c r="I1791" s="30">
        <f t="shared" si="52"/>
        <v>59450</v>
      </c>
      <c r="J1791" s="33">
        <f t="shared" si="53"/>
        <v>16.820857863751051</v>
      </c>
    </row>
    <row r="1792" spans="6:10" ht="15">
      <c r="F1792" s="30">
        <v>27</v>
      </c>
      <c r="G1792" s="30">
        <v>59</v>
      </c>
      <c r="H1792" s="30">
        <v>1475</v>
      </c>
      <c r="I1792" s="30">
        <f t="shared" si="52"/>
        <v>60475</v>
      </c>
      <c r="J1792" s="33">
        <f t="shared" si="53"/>
        <v>16.535758577924764</v>
      </c>
    </row>
    <row r="1793" spans="6:10" ht="15">
      <c r="F1793" s="30">
        <v>27</v>
      </c>
      <c r="G1793" s="30">
        <v>60</v>
      </c>
      <c r="H1793" s="30">
        <v>1500</v>
      </c>
      <c r="I1793" s="30">
        <f t="shared" si="52"/>
        <v>61500</v>
      </c>
      <c r="J1793" s="33">
        <f t="shared" si="53"/>
        <v>16.260162601626014</v>
      </c>
    </row>
    <row r="1794" spans="6:10" ht="15">
      <c r="F1794" s="30">
        <v>27</v>
      </c>
      <c r="G1794" s="30">
        <v>61</v>
      </c>
      <c r="H1794" s="30">
        <v>1525</v>
      </c>
      <c r="I1794" s="30">
        <f t="shared" si="52"/>
        <v>62525</v>
      </c>
      <c r="J1794" s="33">
        <f t="shared" si="53"/>
        <v>15.993602558976409</v>
      </c>
    </row>
    <row r="1795" spans="6:10" ht="15">
      <c r="F1795" s="30">
        <v>27</v>
      </c>
      <c r="G1795" s="30">
        <v>62</v>
      </c>
      <c r="H1795" s="30">
        <v>1550</v>
      </c>
      <c r="I1795" s="30">
        <f t="shared" si="52"/>
        <v>63550</v>
      </c>
      <c r="J1795" s="33">
        <f t="shared" si="53"/>
        <v>15.735641227380016</v>
      </c>
    </row>
    <row r="1796" spans="6:10" ht="15">
      <c r="F1796" s="30">
        <v>27</v>
      </c>
      <c r="G1796" s="30">
        <v>63</v>
      </c>
      <c r="H1796" s="30">
        <v>1575</v>
      </c>
      <c r="I1796" s="30">
        <f t="shared" si="52"/>
        <v>64575</v>
      </c>
      <c r="J1796" s="33">
        <f t="shared" si="53"/>
        <v>15.485869144405729</v>
      </c>
    </row>
    <row r="1797" spans="6:10" ht="15">
      <c r="F1797" s="30">
        <v>27</v>
      </c>
      <c r="G1797" s="30">
        <v>64</v>
      </c>
      <c r="H1797" s="30">
        <v>1600</v>
      </c>
      <c r="I1797" s="30">
        <f t="shared" si="52"/>
        <v>65600</v>
      </c>
      <c r="J1797" s="33">
        <f t="shared" si="53"/>
        <v>15.24390243902439</v>
      </c>
    </row>
    <row r="1798" spans="6:10" ht="15">
      <c r="F1798" s="30">
        <v>28</v>
      </c>
      <c r="G1798" s="30">
        <v>1</v>
      </c>
      <c r="H1798" s="30">
        <v>25</v>
      </c>
      <c r="I1798" s="30">
        <f t="shared" si="52"/>
        <v>1050</v>
      </c>
      <c r="J1798" s="33">
        <f t="shared" si="53"/>
        <v>952.38095238095241</v>
      </c>
    </row>
    <row r="1799" spans="6:10" ht="15">
      <c r="F1799" s="30">
        <v>28</v>
      </c>
      <c r="G1799" s="30">
        <v>2</v>
      </c>
      <c r="H1799" s="30">
        <v>50</v>
      </c>
      <c r="I1799" s="30">
        <f t="shared" ref="I1799:I1862" si="54">(14+F1799)*H1799</f>
        <v>2100</v>
      </c>
      <c r="J1799" s="33">
        <f t="shared" ref="J1799:J1862" si="55">(1/I1799)*1000000</f>
        <v>476.1904761904762</v>
      </c>
    </row>
    <row r="1800" spans="6:10" ht="15">
      <c r="F1800" s="30">
        <v>28</v>
      </c>
      <c r="G1800" s="30">
        <v>3</v>
      </c>
      <c r="H1800" s="30">
        <v>75</v>
      </c>
      <c r="I1800" s="30">
        <f t="shared" si="54"/>
        <v>3150</v>
      </c>
      <c r="J1800" s="33">
        <f t="shared" si="55"/>
        <v>317.46031746031747</v>
      </c>
    </row>
    <row r="1801" spans="6:10" ht="15">
      <c r="F1801" s="30">
        <v>28</v>
      </c>
      <c r="G1801" s="30">
        <v>4</v>
      </c>
      <c r="H1801" s="30">
        <v>100</v>
      </c>
      <c r="I1801" s="30">
        <f t="shared" si="54"/>
        <v>4200</v>
      </c>
      <c r="J1801" s="33">
        <f t="shared" si="55"/>
        <v>238.0952380952381</v>
      </c>
    </row>
    <row r="1802" spans="6:10" ht="15">
      <c r="F1802" s="30">
        <v>28</v>
      </c>
      <c r="G1802" s="30">
        <v>5</v>
      </c>
      <c r="H1802" s="30">
        <v>125</v>
      </c>
      <c r="I1802" s="30">
        <f t="shared" si="54"/>
        <v>5250</v>
      </c>
      <c r="J1802" s="33">
        <f t="shared" si="55"/>
        <v>190.47619047619048</v>
      </c>
    </row>
    <row r="1803" spans="6:10" ht="15">
      <c r="F1803" s="30">
        <v>28</v>
      </c>
      <c r="G1803" s="30">
        <v>6</v>
      </c>
      <c r="H1803" s="30">
        <v>150</v>
      </c>
      <c r="I1803" s="30">
        <f t="shared" si="54"/>
        <v>6300</v>
      </c>
      <c r="J1803" s="33">
        <f t="shared" si="55"/>
        <v>158.73015873015873</v>
      </c>
    </row>
    <row r="1804" spans="6:10" ht="15">
      <c r="F1804" s="30">
        <v>28</v>
      </c>
      <c r="G1804" s="30">
        <v>7</v>
      </c>
      <c r="H1804" s="30">
        <v>175</v>
      </c>
      <c r="I1804" s="30">
        <f t="shared" si="54"/>
        <v>7350</v>
      </c>
      <c r="J1804" s="33">
        <f t="shared" si="55"/>
        <v>136.05442176870747</v>
      </c>
    </row>
    <row r="1805" spans="6:10" ht="15">
      <c r="F1805" s="30">
        <v>28</v>
      </c>
      <c r="G1805" s="30">
        <v>8</v>
      </c>
      <c r="H1805" s="30">
        <v>200</v>
      </c>
      <c r="I1805" s="30">
        <f t="shared" si="54"/>
        <v>8400</v>
      </c>
      <c r="J1805" s="33">
        <f t="shared" si="55"/>
        <v>119.04761904761905</v>
      </c>
    </row>
    <row r="1806" spans="6:10" ht="15">
      <c r="F1806" s="30">
        <v>28</v>
      </c>
      <c r="G1806" s="30">
        <v>9</v>
      </c>
      <c r="H1806" s="30">
        <v>225</v>
      </c>
      <c r="I1806" s="30">
        <f t="shared" si="54"/>
        <v>9450</v>
      </c>
      <c r="J1806" s="33">
        <f t="shared" si="55"/>
        <v>105.82010582010582</v>
      </c>
    </row>
    <row r="1807" spans="6:10" ht="15">
      <c r="F1807" s="30">
        <v>28</v>
      </c>
      <c r="G1807" s="30">
        <v>10</v>
      </c>
      <c r="H1807" s="30">
        <v>250</v>
      </c>
      <c r="I1807" s="30">
        <f t="shared" si="54"/>
        <v>10500</v>
      </c>
      <c r="J1807" s="33">
        <f t="shared" si="55"/>
        <v>95.238095238095241</v>
      </c>
    </row>
    <row r="1808" spans="6:10" ht="15">
      <c r="F1808" s="30">
        <v>28</v>
      </c>
      <c r="G1808" s="30">
        <v>11</v>
      </c>
      <c r="H1808" s="30">
        <v>275</v>
      </c>
      <c r="I1808" s="30">
        <f t="shared" si="54"/>
        <v>11550</v>
      </c>
      <c r="J1808" s="33">
        <f t="shared" si="55"/>
        <v>86.580086580086586</v>
      </c>
    </row>
    <row r="1809" spans="6:10" ht="15">
      <c r="F1809" s="30">
        <v>28</v>
      </c>
      <c r="G1809" s="30">
        <v>12</v>
      </c>
      <c r="H1809" s="30">
        <v>300</v>
      </c>
      <c r="I1809" s="30">
        <f t="shared" si="54"/>
        <v>12600</v>
      </c>
      <c r="J1809" s="33">
        <f t="shared" si="55"/>
        <v>79.365079365079367</v>
      </c>
    </row>
    <row r="1810" spans="6:10" ht="15">
      <c r="F1810" s="30">
        <v>28</v>
      </c>
      <c r="G1810" s="30">
        <v>13</v>
      </c>
      <c r="H1810" s="30">
        <v>325</v>
      </c>
      <c r="I1810" s="30">
        <f t="shared" si="54"/>
        <v>13650</v>
      </c>
      <c r="J1810" s="33">
        <f t="shared" si="55"/>
        <v>73.260073260073256</v>
      </c>
    </row>
    <row r="1811" spans="6:10" ht="15">
      <c r="F1811" s="30">
        <v>28</v>
      </c>
      <c r="G1811" s="30">
        <v>14</v>
      </c>
      <c r="H1811" s="30">
        <v>350</v>
      </c>
      <c r="I1811" s="30">
        <f t="shared" si="54"/>
        <v>14700</v>
      </c>
      <c r="J1811" s="33">
        <f t="shared" si="55"/>
        <v>68.027210884353735</v>
      </c>
    </row>
    <row r="1812" spans="6:10" ht="15">
      <c r="F1812" s="30">
        <v>28</v>
      </c>
      <c r="G1812" s="30">
        <v>15</v>
      </c>
      <c r="H1812" s="30">
        <v>375</v>
      </c>
      <c r="I1812" s="30">
        <f t="shared" si="54"/>
        <v>15750</v>
      </c>
      <c r="J1812" s="33">
        <f t="shared" si="55"/>
        <v>63.492063492063487</v>
      </c>
    </row>
    <row r="1813" spans="6:10" ht="15">
      <c r="F1813" s="30">
        <v>28</v>
      </c>
      <c r="G1813" s="30">
        <v>16</v>
      </c>
      <c r="H1813" s="30">
        <v>400</v>
      </c>
      <c r="I1813" s="30">
        <f t="shared" si="54"/>
        <v>16800</v>
      </c>
      <c r="J1813" s="33">
        <f t="shared" si="55"/>
        <v>59.523809523809526</v>
      </c>
    </row>
    <row r="1814" spans="6:10" ht="15">
      <c r="F1814" s="30">
        <v>28</v>
      </c>
      <c r="G1814" s="30">
        <v>17</v>
      </c>
      <c r="H1814" s="30">
        <v>425</v>
      </c>
      <c r="I1814" s="30">
        <f t="shared" si="54"/>
        <v>17850</v>
      </c>
      <c r="J1814" s="33">
        <f t="shared" si="55"/>
        <v>56.022408963585434</v>
      </c>
    </row>
    <row r="1815" spans="6:10" ht="15">
      <c r="F1815" s="30">
        <v>28</v>
      </c>
      <c r="G1815" s="30">
        <v>18</v>
      </c>
      <c r="H1815" s="30">
        <v>450</v>
      </c>
      <c r="I1815" s="30">
        <f t="shared" si="54"/>
        <v>18900</v>
      </c>
      <c r="J1815" s="33">
        <f t="shared" si="55"/>
        <v>52.910052910052912</v>
      </c>
    </row>
    <row r="1816" spans="6:10" ht="15">
      <c r="F1816" s="30">
        <v>28</v>
      </c>
      <c r="G1816" s="30">
        <v>19</v>
      </c>
      <c r="H1816" s="30">
        <v>475</v>
      </c>
      <c r="I1816" s="30">
        <f t="shared" si="54"/>
        <v>19950</v>
      </c>
      <c r="J1816" s="33">
        <f t="shared" si="55"/>
        <v>50.125313283208023</v>
      </c>
    </row>
    <row r="1817" spans="6:10" ht="15">
      <c r="F1817" s="30">
        <v>28</v>
      </c>
      <c r="G1817" s="30">
        <v>20</v>
      </c>
      <c r="H1817" s="30">
        <v>500</v>
      </c>
      <c r="I1817" s="30">
        <f t="shared" si="54"/>
        <v>21000</v>
      </c>
      <c r="J1817" s="33">
        <f t="shared" si="55"/>
        <v>47.61904761904762</v>
      </c>
    </row>
    <row r="1818" spans="6:10" ht="15">
      <c r="F1818" s="30">
        <v>28</v>
      </c>
      <c r="G1818" s="30">
        <v>21</v>
      </c>
      <c r="H1818" s="30">
        <v>525</v>
      </c>
      <c r="I1818" s="30">
        <f t="shared" si="54"/>
        <v>22050</v>
      </c>
      <c r="J1818" s="33">
        <f t="shared" si="55"/>
        <v>45.351473922902493</v>
      </c>
    </row>
    <row r="1819" spans="6:10" ht="15">
      <c r="F1819" s="30">
        <v>28</v>
      </c>
      <c r="G1819" s="30">
        <v>22</v>
      </c>
      <c r="H1819" s="30">
        <v>550</v>
      </c>
      <c r="I1819" s="30">
        <f t="shared" si="54"/>
        <v>23100</v>
      </c>
      <c r="J1819" s="33">
        <f t="shared" si="55"/>
        <v>43.290043290043293</v>
      </c>
    </row>
    <row r="1820" spans="6:10" ht="15">
      <c r="F1820" s="30">
        <v>28</v>
      </c>
      <c r="G1820" s="30">
        <v>23</v>
      </c>
      <c r="H1820" s="30">
        <v>575</v>
      </c>
      <c r="I1820" s="30">
        <f t="shared" si="54"/>
        <v>24150</v>
      </c>
      <c r="J1820" s="33">
        <f t="shared" si="55"/>
        <v>41.407867494824011</v>
      </c>
    </row>
    <row r="1821" spans="6:10" ht="15">
      <c r="F1821" s="30">
        <v>28</v>
      </c>
      <c r="G1821" s="30">
        <v>24</v>
      </c>
      <c r="H1821" s="30">
        <v>600</v>
      </c>
      <c r="I1821" s="30">
        <f t="shared" si="54"/>
        <v>25200</v>
      </c>
      <c r="J1821" s="33">
        <f t="shared" si="55"/>
        <v>39.682539682539684</v>
      </c>
    </row>
    <row r="1822" spans="6:10" ht="15">
      <c r="F1822" s="30">
        <v>28</v>
      </c>
      <c r="G1822" s="30">
        <v>25</v>
      </c>
      <c r="H1822" s="30">
        <v>625</v>
      </c>
      <c r="I1822" s="30">
        <f t="shared" si="54"/>
        <v>26250</v>
      </c>
      <c r="J1822" s="33">
        <f t="shared" si="55"/>
        <v>38.095238095238095</v>
      </c>
    </row>
    <row r="1823" spans="6:10" ht="15">
      <c r="F1823" s="30">
        <v>28</v>
      </c>
      <c r="G1823" s="30">
        <v>26</v>
      </c>
      <c r="H1823" s="30">
        <v>650</v>
      </c>
      <c r="I1823" s="30">
        <f t="shared" si="54"/>
        <v>27300</v>
      </c>
      <c r="J1823" s="33">
        <f t="shared" si="55"/>
        <v>36.630036630036628</v>
      </c>
    </row>
    <row r="1824" spans="6:10" ht="15">
      <c r="F1824" s="30">
        <v>28</v>
      </c>
      <c r="G1824" s="30">
        <v>27</v>
      </c>
      <c r="H1824" s="30">
        <v>675</v>
      </c>
      <c r="I1824" s="30">
        <f t="shared" si="54"/>
        <v>28350</v>
      </c>
      <c r="J1824" s="33">
        <f t="shared" si="55"/>
        <v>35.273368606701936</v>
      </c>
    </row>
    <row r="1825" spans="6:10" ht="15">
      <c r="F1825" s="30">
        <v>28</v>
      </c>
      <c r="G1825" s="30">
        <v>28</v>
      </c>
      <c r="H1825" s="30">
        <v>700</v>
      </c>
      <c r="I1825" s="30">
        <f t="shared" si="54"/>
        <v>29400</v>
      </c>
      <c r="J1825" s="33">
        <f t="shared" si="55"/>
        <v>34.013605442176868</v>
      </c>
    </row>
    <row r="1826" spans="6:10" ht="15">
      <c r="F1826" s="30">
        <v>28</v>
      </c>
      <c r="G1826" s="30">
        <v>29</v>
      </c>
      <c r="H1826" s="30">
        <v>725</v>
      </c>
      <c r="I1826" s="30">
        <f t="shared" si="54"/>
        <v>30450</v>
      </c>
      <c r="J1826" s="33">
        <f t="shared" si="55"/>
        <v>32.840722495894909</v>
      </c>
    </row>
    <row r="1827" spans="6:10" ht="15">
      <c r="F1827" s="30">
        <v>28</v>
      </c>
      <c r="G1827" s="30">
        <v>30</v>
      </c>
      <c r="H1827" s="30">
        <v>750</v>
      </c>
      <c r="I1827" s="30">
        <f t="shared" si="54"/>
        <v>31500</v>
      </c>
      <c r="J1827" s="33">
        <f t="shared" si="55"/>
        <v>31.746031746031743</v>
      </c>
    </row>
    <row r="1828" spans="6:10" ht="15">
      <c r="F1828" s="30">
        <v>28</v>
      </c>
      <c r="G1828" s="30">
        <v>31</v>
      </c>
      <c r="H1828" s="30">
        <v>775</v>
      </c>
      <c r="I1828" s="30">
        <f t="shared" si="54"/>
        <v>32550</v>
      </c>
      <c r="J1828" s="33">
        <f t="shared" si="55"/>
        <v>30.721966205837173</v>
      </c>
    </row>
    <row r="1829" spans="6:10" ht="15">
      <c r="F1829" s="30">
        <v>28</v>
      </c>
      <c r="G1829" s="30">
        <v>32</v>
      </c>
      <c r="H1829" s="30">
        <v>800</v>
      </c>
      <c r="I1829" s="30">
        <f t="shared" si="54"/>
        <v>33600</v>
      </c>
      <c r="J1829" s="33">
        <f t="shared" si="55"/>
        <v>29.761904761904763</v>
      </c>
    </row>
    <row r="1830" spans="6:10" ht="15">
      <c r="F1830" s="30">
        <v>28</v>
      </c>
      <c r="G1830" s="30">
        <v>33</v>
      </c>
      <c r="H1830" s="30">
        <v>825</v>
      </c>
      <c r="I1830" s="30">
        <f t="shared" si="54"/>
        <v>34650</v>
      </c>
      <c r="J1830" s="33">
        <f t="shared" si="55"/>
        <v>28.860028860028859</v>
      </c>
    </row>
    <row r="1831" spans="6:10" ht="15">
      <c r="F1831" s="30">
        <v>28</v>
      </c>
      <c r="G1831" s="30">
        <v>34</v>
      </c>
      <c r="H1831" s="30">
        <v>850</v>
      </c>
      <c r="I1831" s="30">
        <f t="shared" si="54"/>
        <v>35700</v>
      </c>
      <c r="J1831" s="33">
        <f t="shared" si="55"/>
        <v>28.011204481792717</v>
      </c>
    </row>
    <row r="1832" spans="6:10" ht="15">
      <c r="F1832" s="30">
        <v>28</v>
      </c>
      <c r="G1832" s="30">
        <v>35</v>
      </c>
      <c r="H1832" s="30">
        <v>875</v>
      </c>
      <c r="I1832" s="30">
        <f t="shared" si="54"/>
        <v>36750</v>
      </c>
      <c r="J1832" s="33">
        <f t="shared" si="55"/>
        <v>27.210884353741498</v>
      </c>
    </row>
    <row r="1833" spans="6:10" ht="15">
      <c r="F1833" s="30">
        <v>28</v>
      </c>
      <c r="G1833" s="30">
        <v>36</v>
      </c>
      <c r="H1833" s="30">
        <v>900</v>
      </c>
      <c r="I1833" s="30">
        <f t="shared" si="54"/>
        <v>37800</v>
      </c>
      <c r="J1833" s="33">
        <f t="shared" si="55"/>
        <v>26.455026455026456</v>
      </c>
    </row>
    <row r="1834" spans="6:10" ht="15">
      <c r="F1834" s="30">
        <v>28</v>
      </c>
      <c r="G1834" s="30">
        <v>37</v>
      </c>
      <c r="H1834" s="30">
        <v>925</v>
      </c>
      <c r="I1834" s="30">
        <f t="shared" si="54"/>
        <v>38850</v>
      </c>
      <c r="J1834" s="33">
        <f t="shared" si="55"/>
        <v>25.74002574002574</v>
      </c>
    </row>
    <row r="1835" spans="6:10" ht="15">
      <c r="F1835" s="30">
        <v>28</v>
      </c>
      <c r="G1835" s="30">
        <v>38</v>
      </c>
      <c r="H1835" s="30">
        <v>950</v>
      </c>
      <c r="I1835" s="30">
        <f t="shared" si="54"/>
        <v>39900</v>
      </c>
      <c r="J1835" s="33">
        <f t="shared" si="55"/>
        <v>25.062656641604011</v>
      </c>
    </row>
    <row r="1836" spans="6:10" ht="15">
      <c r="F1836" s="30">
        <v>28</v>
      </c>
      <c r="G1836" s="30">
        <v>39</v>
      </c>
      <c r="H1836" s="30">
        <v>975</v>
      </c>
      <c r="I1836" s="30">
        <f t="shared" si="54"/>
        <v>40950</v>
      </c>
      <c r="J1836" s="33">
        <f t="shared" si="55"/>
        <v>24.420024420024419</v>
      </c>
    </row>
    <row r="1837" spans="6:10" ht="15">
      <c r="F1837" s="30">
        <v>28</v>
      </c>
      <c r="G1837" s="30">
        <v>40</v>
      </c>
      <c r="H1837" s="30">
        <v>1000</v>
      </c>
      <c r="I1837" s="30">
        <f t="shared" si="54"/>
        <v>42000</v>
      </c>
      <c r="J1837" s="33">
        <f t="shared" si="55"/>
        <v>23.80952380952381</v>
      </c>
    </row>
    <row r="1838" spans="6:10" ht="15">
      <c r="F1838" s="30">
        <v>28</v>
      </c>
      <c r="G1838" s="30">
        <v>41</v>
      </c>
      <c r="H1838" s="30">
        <v>1025</v>
      </c>
      <c r="I1838" s="30">
        <f t="shared" si="54"/>
        <v>43050</v>
      </c>
      <c r="J1838" s="33">
        <f t="shared" si="55"/>
        <v>23.228803716608596</v>
      </c>
    </row>
    <row r="1839" spans="6:10" ht="15">
      <c r="F1839" s="30">
        <v>28</v>
      </c>
      <c r="G1839" s="30">
        <v>42</v>
      </c>
      <c r="H1839" s="30">
        <v>1050</v>
      </c>
      <c r="I1839" s="30">
        <f t="shared" si="54"/>
        <v>44100</v>
      </c>
      <c r="J1839" s="33">
        <f t="shared" si="55"/>
        <v>22.675736961451246</v>
      </c>
    </row>
    <row r="1840" spans="6:10" ht="15">
      <c r="F1840" s="30">
        <v>28</v>
      </c>
      <c r="G1840" s="30">
        <v>43</v>
      </c>
      <c r="H1840" s="30">
        <v>1075</v>
      </c>
      <c r="I1840" s="30">
        <f t="shared" si="54"/>
        <v>45150</v>
      </c>
      <c r="J1840" s="33">
        <f t="shared" si="55"/>
        <v>22.148394241417499</v>
      </c>
    </row>
    <row r="1841" spans="6:10" ht="15">
      <c r="F1841" s="30">
        <v>28</v>
      </c>
      <c r="G1841" s="30">
        <v>44</v>
      </c>
      <c r="H1841" s="30">
        <v>1100</v>
      </c>
      <c r="I1841" s="30">
        <f t="shared" si="54"/>
        <v>46200</v>
      </c>
      <c r="J1841" s="33">
        <f t="shared" si="55"/>
        <v>21.645021645021647</v>
      </c>
    </row>
    <row r="1842" spans="6:10" ht="15">
      <c r="F1842" s="30">
        <v>28</v>
      </c>
      <c r="G1842" s="30">
        <v>45</v>
      </c>
      <c r="H1842" s="30">
        <v>1125</v>
      </c>
      <c r="I1842" s="30">
        <f t="shared" si="54"/>
        <v>47250</v>
      </c>
      <c r="J1842" s="33">
        <f t="shared" si="55"/>
        <v>21.164021164021165</v>
      </c>
    </row>
    <row r="1843" spans="6:10" ht="15">
      <c r="F1843" s="30">
        <v>28</v>
      </c>
      <c r="G1843" s="30">
        <v>46</v>
      </c>
      <c r="H1843" s="30">
        <v>1150</v>
      </c>
      <c r="I1843" s="30">
        <f t="shared" si="54"/>
        <v>48300</v>
      </c>
      <c r="J1843" s="33">
        <f t="shared" si="55"/>
        <v>20.703933747412005</v>
      </c>
    </row>
    <row r="1844" spans="6:10" ht="15">
      <c r="F1844" s="30">
        <v>28</v>
      </c>
      <c r="G1844" s="30">
        <v>47</v>
      </c>
      <c r="H1844" s="30">
        <v>1175</v>
      </c>
      <c r="I1844" s="30">
        <f t="shared" si="54"/>
        <v>49350</v>
      </c>
      <c r="J1844" s="33">
        <f t="shared" si="55"/>
        <v>20.263424518743665</v>
      </c>
    </row>
    <row r="1845" spans="6:10" ht="15">
      <c r="F1845" s="30">
        <v>28</v>
      </c>
      <c r="G1845" s="30">
        <v>48</v>
      </c>
      <c r="H1845" s="30">
        <v>1200</v>
      </c>
      <c r="I1845" s="30">
        <f t="shared" si="54"/>
        <v>50400</v>
      </c>
      <c r="J1845" s="33">
        <f t="shared" si="55"/>
        <v>19.841269841269842</v>
      </c>
    </row>
    <row r="1846" spans="6:10" ht="15">
      <c r="F1846" s="30">
        <v>28</v>
      </c>
      <c r="G1846" s="30">
        <v>49</v>
      </c>
      <c r="H1846" s="30">
        <v>1225</v>
      </c>
      <c r="I1846" s="30">
        <f t="shared" si="54"/>
        <v>51450</v>
      </c>
      <c r="J1846" s="33">
        <f t="shared" si="55"/>
        <v>19.436345966958211</v>
      </c>
    </row>
    <row r="1847" spans="6:10" ht="15">
      <c r="F1847" s="30">
        <v>28</v>
      </c>
      <c r="G1847" s="30">
        <v>50</v>
      </c>
      <c r="H1847" s="30">
        <v>1250</v>
      </c>
      <c r="I1847" s="30">
        <f t="shared" si="54"/>
        <v>52500</v>
      </c>
      <c r="J1847" s="33">
        <f t="shared" si="55"/>
        <v>19.047619047619047</v>
      </c>
    </row>
    <row r="1848" spans="6:10" ht="15">
      <c r="F1848" s="30">
        <v>28</v>
      </c>
      <c r="G1848" s="30">
        <v>51</v>
      </c>
      <c r="H1848" s="30">
        <v>1275</v>
      </c>
      <c r="I1848" s="30">
        <f t="shared" si="54"/>
        <v>53550</v>
      </c>
      <c r="J1848" s="33">
        <f t="shared" si="55"/>
        <v>18.674136321195146</v>
      </c>
    </row>
    <row r="1849" spans="6:10" ht="15">
      <c r="F1849" s="30">
        <v>28</v>
      </c>
      <c r="G1849" s="30">
        <v>52</v>
      </c>
      <c r="H1849" s="30">
        <v>1300</v>
      </c>
      <c r="I1849" s="30">
        <f t="shared" si="54"/>
        <v>54600</v>
      </c>
      <c r="J1849" s="33">
        <f t="shared" si="55"/>
        <v>18.315018315018314</v>
      </c>
    </row>
    <row r="1850" spans="6:10" ht="15">
      <c r="F1850" s="30">
        <v>28</v>
      </c>
      <c r="G1850" s="30">
        <v>53</v>
      </c>
      <c r="H1850" s="30">
        <v>1325</v>
      </c>
      <c r="I1850" s="30">
        <f t="shared" si="54"/>
        <v>55650</v>
      </c>
      <c r="J1850" s="33">
        <f t="shared" si="55"/>
        <v>17.969451931716083</v>
      </c>
    </row>
    <row r="1851" spans="6:10" ht="15">
      <c r="F1851" s="30">
        <v>28</v>
      </c>
      <c r="G1851" s="30">
        <v>54</v>
      </c>
      <c r="H1851" s="30">
        <v>1350</v>
      </c>
      <c r="I1851" s="30">
        <f t="shared" si="54"/>
        <v>56700</v>
      </c>
      <c r="J1851" s="33">
        <f t="shared" si="55"/>
        <v>17.636684303350968</v>
      </c>
    </row>
    <row r="1852" spans="6:10" ht="15">
      <c r="F1852" s="30">
        <v>28</v>
      </c>
      <c r="G1852" s="30">
        <v>55</v>
      </c>
      <c r="H1852" s="30">
        <v>1375</v>
      </c>
      <c r="I1852" s="30">
        <f t="shared" si="54"/>
        <v>57750</v>
      </c>
      <c r="J1852" s="33">
        <f t="shared" si="55"/>
        <v>17.316017316017316</v>
      </c>
    </row>
    <row r="1853" spans="6:10" ht="15">
      <c r="F1853" s="30">
        <v>28</v>
      </c>
      <c r="G1853" s="30">
        <v>56</v>
      </c>
      <c r="H1853" s="30">
        <v>1400</v>
      </c>
      <c r="I1853" s="30">
        <f t="shared" si="54"/>
        <v>58800</v>
      </c>
      <c r="J1853" s="33">
        <f t="shared" si="55"/>
        <v>17.006802721088434</v>
      </c>
    </row>
    <row r="1854" spans="6:10" ht="15">
      <c r="F1854" s="30">
        <v>28</v>
      </c>
      <c r="G1854" s="30">
        <v>57</v>
      </c>
      <c r="H1854" s="30">
        <v>1425</v>
      </c>
      <c r="I1854" s="30">
        <f t="shared" si="54"/>
        <v>59850</v>
      </c>
      <c r="J1854" s="33">
        <f t="shared" si="55"/>
        <v>16.708437761069341</v>
      </c>
    </row>
    <row r="1855" spans="6:10" ht="15">
      <c r="F1855" s="30">
        <v>28</v>
      </c>
      <c r="G1855" s="30">
        <v>58</v>
      </c>
      <c r="H1855" s="30">
        <v>1450</v>
      </c>
      <c r="I1855" s="30">
        <f t="shared" si="54"/>
        <v>60900</v>
      </c>
      <c r="J1855" s="33">
        <f t="shared" si="55"/>
        <v>16.420361247947454</v>
      </c>
    </row>
    <row r="1856" spans="6:10" ht="15">
      <c r="F1856" s="30">
        <v>28</v>
      </c>
      <c r="G1856" s="30">
        <v>59</v>
      </c>
      <c r="H1856" s="30">
        <v>1475</v>
      </c>
      <c r="I1856" s="30">
        <f t="shared" si="54"/>
        <v>61950</v>
      </c>
      <c r="J1856" s="33">
        <f t="shared" si="55"/>
        <v>16.142050040355127</v>
      </c>
    </row>
    <row r="1857" spans="6:10" ht="15">
      <c r="F1857" s="30">
        <v>28</v>
      </c>
      <c r="G1857" s="30">
        <v>60</v>
      </c>
      <c r="H1857" s="30">
        <v>1500</v>
      </c>
      <c r="I1857" s="30">
        <f t="shared" si="54"/>
        <v>63000</v>
      </c>
      <c r="J1857" s="33">
        <f t="shared" si="55"/>
        <v>15.873015873015872</v>
      </c>
    </row>
    <row r="1858" spans="6:10" ht="15">
      <c r="F1858" s="30">
        <v>28</v>
      </c>
      <c r="G1858" s="30">
        <v>61</v>
      </c>
      <c r="H1858" s="30">
        <v>1525</v>
      </c>
      <c r="I1858" s="30">
        <f t="shared" si="54"/>
        <v>64050</v>
      </c>
      <c r="J1858" s="33">
        <f t="shared" si="55"/>
        <v>15.612802498048399</v>
      </c>
    </row>
    <row r="1859" spans="6:10" ht="15">
      <c r="F1859" s="30">
        <v>28</v>
      </c>
      <c r="G1859" s="30">
        <v>62</v>
      </c>
      <c r="H1859" s="30">
        <v>1550</v>
      </c>
      <c r="I1859" s="30">
        <f t="shared" si="54"/>
        <v>65100</v>
      </c>
      <c r="J1859" s="33">
        <f t="shared" si="55"/>
        <v>15.360983102918587</v>
      </c>
    </row>
    <row r="1860" spans="6:10" ht="15">
      <c r="F1860" s="30">
        <v>28</v>
      </c>
      <c r="G1860" s="30">
        <v>63</v>
      </c>
      <c r="H1860" s="30">
        <v>1575</v>
      </c>
      <c r="I1860" s="30">
        <f t="shared" si="54"/>
        <v>66150</v>
      </c>
      <c r="J1860" s="33">
        <f t="shared" si="55"/>
        <v>15.117157974300831</v>
      </c>
    </row>
    <row r="1861" spans="6:10" ht="15">
      <c r="F1861" s="30">
        <v>28</v>
      </c>
      <c r="G1861" s="30">
        <v>64</v>
      </c>
      <c r="H1861" s="30">
        <v>1600</v>
      </c>
      <c r="I1861" s="30">
        <f t="shared" si="54"/>
        <v>67200</v>
      </c>
      <c r="J1861" s="33">
        <f t="shared" si="55"/>
        <v>14.880952380952381</v>
      </c>
    </row>
    <row r="1862" spans="6:10" ht="15">
      <c r="F1862" s="30">
        <v>29</v>
      </c>
      <c r="G1862" s="30">
        <v>1</v>
      </c>
      <c r="H1862" s="30">
        <v>25</v>
      </c>
      <c r="I1862" s="30">
        <f t="shared" si="54"/>
        <v>1075</v>
      </c>
      <c r="J1862" s="33">
        <f t="shared" si="55"/>
        <v>930.23255813953494</v>
      </c>
    </row>
    <row r="1863" spans="6:10" ht="15">
      <c r="F1863" s="30">
        <v>29</v>
      </c>
      <c r="G1863" s="30">
        <v>2</v>
      </c>
      <c r="H1863" s="30">
        <v>50</v>
      </c>
      <c r="I1863" s="30">
        <f t="shared" ref="I1863:I1926" si="56">(14+F1863)*H1863</f>
        <v>2150</v>
      </c>
      <c r="J1863" s="33">
        <f t="shared" ref="J1863:J1926" si="57">(1/I1863)*1000000</f>
        <v>465.11627906976747</v>
      </c>
    </row>
    <row r="1864" spans="6:10" ht="15">
      <c r="F1864" s="30">
        <v>29</v>
      </c>
      <c r="G1864" s="30">
        <v>3</v>
      </c>
      <c r="H1864" s="30">
        <v>75</v>
      </c>
      <c r="I1864" s="30">
        <f t="shared" si="56"/>
        <v>3225</v>
      </c>
      <c r="J1864" s="33">
        <f t="shared" si="57"/>
        <v>310.077519379845</v>
      </c>
    </row>
    <row r="1865" spans="6:10" ht="15">
      <c r="F1865" s="30">
        <v>29</v>
      </c>
      <c r="G1865" s="30">
        <v>4</v>
      </c>
      <c r="H1865" s="30">
        <v>100</v>
      </c>
      <c r="I1865" s="30">
        <f t="shared" si="56"/>
        <v>4300</v>
      </c>
      <c r="J1865" s="33">
        <f t="shared" si="57"/>
        <v>232.55813953488374</v>
      </c>
    </row>
    <row r="1866" spans="6:10" ht="15">
      <c r="F1866" s="30">
        <v>29</v>
      </c>
      <c r="G1866" s="30">
        <v>5</v>
      </c>
      <c r="H1866" s="30">
        <v>125</v>
      </c>
      <c r="I1866" s="30">
        <f t="shared" si="56"/>
        <v>5375</v>
      </c>
      <c r="J1866" s="33">
        <f t="shared" si="57"/>
        <v>186.04651162790697</v>
      </c>
    </row>
    <row r="1867" spans="6:10" ht="15">
      <c r="F1867" s="30">
        <v>29</v>
      </c>
      <c r="G1867" s="30">
        <v>6</v>
      </c>
      <c r="H1867" s="30">
        <v>150</v>
      </c>
      <c r="I1867" s="30">
        <f t="shared" si="56"/>
        <v>6450</v>
      </c>
      <c r="J1867" s="33">
        <f t="shared" si="57"/>
        <v>155.0387596899225</v>
      </c>
    </row>
    <row r="1868" spans="6:10" ht="15">
      <c r="F1868" s="30">
        <v>29</v>
      </c>
      <c r="G1868" s="30">
        <v>7</v>
      </c>
      <c r="H1868" s="30">
        <v>175</v>
      </c>
      <c r="I1868" s="30">
        <f t="shared" si="56"/>
        <v>7525</v>
      </c>
      <c r="J1868" s="33">
        <f t="shared" si="57"/>
        <v>132.89036544850498</v>
      </c>
    </row>
    <row r="1869" spans="6:10" ht="15">
      <c r="F1869" s="30">
        <v>29</v>
      </c>
      <c r="G1869" s="30">
        <v>8</v>
      </c>
      <c r="H1869" s="30">
        <v>200</v>
      </c>
      <c r="I1869" s="30">
        <f t="shared" si="56"/>
        <v>8600</v>
      </c>
      <c r="J1869" s="33">
        <f t="shared" si="57"/>
        <v>116.27906976744187</v>
      </c>
    </row>
    <row r="1870" spans="6:10" ht="15">
      <c r="F1870" s="30">
        <v>29</v>
      </c>
      <c r="G1870" s="30">
        <v>9</v>
      </c>
      <c r="H1870" s="30">
        <v>225</v>
      </c>
      <c r="I1870" s="30">
        <f t="shared" si="56"/>
        <v>9675</v>
      </c>
      <c r="J1870" s="33">
        <f t="shared" si="57"/>
        <v>103.35917312661499</v>
      </c>
    </row>
    <row r="1871" spans="6:10" ht="15">
      <c r="F1871" s="30">
        <v>29</v>
      </c>
      <c r="G1871" s="30">
        <v>10</v>
      </c>
      <c r="H1871" s="30">
        <v>250</v>
      </c>
      <c r="I1871" s="30">
        <f t="shared" si="56"/>
        <v>10750</v>
      </c>
      <c r="J1871" s="33">
        <f t="shared" si="57"/>
        <v>93.023255813953483</v>
      </c>
    </row>
    <row r="1872" spans="6:10" ht="15">
      <c r="F1872" s="30">
        <v>29</v>
      </c>
      <c r="G1872" s="30">
        <v>11</v>
      </c>
      <c r="H1872" s="30">
        <v>275</v>
      </c>
      <c r="I1872" s="30">
        <f t="shared" si="56"/>
        <v>11825</v>
      </c>
      <c r="J1872" s="33">
        <f t="shared" si="57"/>
        <v>84.566596194503163</v>
      </c>
    </row>
    <row r="1873" spans="6:10" ht="15">
      <c r="F1873" s="30">
        <v>29</v>
      </c>
      <c r="G1873" s="30">
        <v>12</v>
      </c>
      <c r="H1873" s="30">
        <v>300</v>
      </c>
      <c r="I1873" s="30">
        <f t="shared" si="56"/>
        <v>12900</v>
      </c>
      <c r="J1873" s="33">
        <f t="shared" si="57"/>
        <v>77.51937984496125</v>
      </c>
    </row>
    <row r="1874" spans="6:10" ht="15">
      <c r="F1874" s="30">
        <v>29</v>
      </c>
      <c r="G1874" s="30">
        <v>13</v>
      </c>
      <c r="H1874" s="30">
        <v>325</v>
      </c>
      <c r="I1874" s="30">
        <f t="shared" si="56"/>
        <v>13975</v>
      </c>
      <c r="J1874" s="33">
        <f t="shared" si="57"/>
        <v>71.556350626118075</v>
      </c>
    </row>
    <row r="1875" spans="6:10" ht="15">
      <c r="F1875" s="30">
        <v>29</v>
      </c>
      <c r="G1875" s="30">
        <v>14</v>
      </c>
      <c r="H1875" s="30">
        <v>350</v>
      </c>
      <c r="I1875" s="30">
        <f t="shared" si="56"/>
        <v>15050</v>
      </c>
      <c r="J1875" s="33">
        <f t="shared" si="57"/>
        <v>66.44518272425249</v>
      </c>
    </row>
    <row r="1876" spans="6:10" ht="15">
      <c r="F1876" s="30">
        <v>29</v>
      </c>
      <c r="G1876" s="30">
        <v>15</v>
      </c>
      <c r="H1876" s="30">
        <v>375</v>
      </c>
      <c r="I1876" s="30">
        <f t="shared" si="56"/>
        <v>16125</v>
      </c>
      <c r="J1876" s="33">
        <f t="shared" si="57"/>
        <v>62.015503875968996</v>
      </c>
    </row>
    <row r="1877" spans="6:10" ht="15">
      <c r="F1877" s="30">
        <v>29</v>
      </c>
      <c r="G1877" s="30">
        <v>16</v>
      </c>
      <c r="H1877" s="30">
        <v>400</v>
      </c>
      <c r="I1877" s="30">
        <f t="shared" si="56"/>
        <v>17200</v>
      </c>
      <c r="J1877" s="33">
        <f t="shared" si="57"/>
        <v>58.139534883720934</v>
      </c>
    </row>
    <row r="1878" spans="6:10" ht="15">
      <c r="F1878" s="30">
        <v>29</v>
      </c>
      <c r="G1878" s="30">
        <v>17</v>
      </c>
      <c r="H1878" s="30">
        <v>425</v>
      </c>
      <c r="I1878" s="30">
        <f t="shared" si="56"/>
        <v>18275</v>
      </c>
      <c r="J1878" s="33">
        <f t="shared" si="57"/>
        <v>54.719562243502047</v>
      </c>
    </row>
    <row r="1879" spans="6:10" ht="15">
      <c r="F1879" s="30">
        <v>29</v>
      </c>
      <c r="G1879" s="30">
        <v>18</v>
      </c>
      <c r="H1879" s="30">
        <v>450</v>
      </c>
      <c r="I1879" s="30">
        <f t="shared" si="56"/>
        <v>19350</v>
      </c>
      <c r="J1879" s="33">
        <f t="shared" si="57"/>
        <v>51.679586563307495</v>
      </c>
    </row>
    <row r="1880" spans="6:10" ht="15">
      <c r="F1880" s="30">
        <v>29</v>
      </c>
      <c r="G1880" s="30">
        <v>19</v>
      </c>
      <c r="H1880" s="30">
        <v>475</v>
      </c>
      <c r="I1880" s="30">
        <f t="shared" si="56"/>
        <v>20425</v>
      </c>
      <c r="J1880" s="33">
        <f t="shared" si="57"/>
        <v>48.959608323133416</v>
      </c>
    </row>
    <row r="1881" spans="6:10" ht="15">
      <c r="F1881" s="30">
        <v>29</v>
      </c>
      <c r="G1881" s="30">
        <v>20</v>
      </c>
      <c r="H1881" s="30">
        <v>500</v>
      </c>
      <c r="I1881" s="30">
        <f t="shared" si="56"/>
        <v>21500</v>
      </c>
      <c r="J1881" s="33">
        <f t="shared" si="57"/>
        <v>46.511627906976742</v>
      </c>
    </row>
    <row r="1882" spans="6:10" ht="15">
      <c r="F1882" s="30">
        <v>29</v>
      </c>
      <c r="G1882" s="30">
        <v>21</v>
      </c>
      <c r="H1882" s="30">
        <v>525</v>
      </c>
      <c r="I1882" s="30">
        <f t="shared" si="56"/>
        <v>22575</v>
      </c>
      <c r="J1882" s="33">
        <f t="shared" si="57"/>
        <v>44.296788482834998</v>
      </c>
    </row>
    <row r="1883" spans="6:10" ht="15">
      <c r="F1883" s="30">
        <v>29</v>
      </c>
      <c r="G1883" s="30">
        <v>22</v>
      </c>
      <c r="H1883" s="30">
        <v>550</v>
      </c>
      <c r="I1883" s="30">
        <f t="shared" si="56"/>
        <v>23650</v>
      </c>
      <c r="J1883" s="33">
        <f t="shared" si="57"/>
        <v>42.283298097251581</v>
      </c>
    </row>
    <row r="1884" spans="6:10" ht="15">
      <c r="F1884" s="30">
        <v>29</v>
      </c>
      <c r="G1884" s="30">
        <v>23</v>
      </c>
      <c r="H1884" s="30">
        <v>575</v>
      </c>
      <c r="I1884" s="30">
        <f t="shared" si="56"/>
        <v>24725</v>
      </c>
      <c r="J1884" s="33">
        <f t="shared" si="57"/>
        <v>40.444893832153696</v>
      </c>
    </row>
    <row r="1885" spans="6:10" ht="15">
      <c r="F1885" s="30">
        <v>29</v>
      </c>
      <c r="G1885" s="30">
        <v>24</v>
      </c>
      <c r="H1885" s="30">
        <v>600</v>
      </c>
      <c r="I1885" s="30">
        <f t="shared" si="56"/>
        <v>25800</v>
      </c>
      <c r="J1885" s="33">
        <f t="shared" si="57"/>
        <v>38.759689922480625</v>
      </c>
    </row>
    <row r="1886" spans="6:10" ht="15">
      <c r="F1886" s="30">
        <v>29</v>
      </c>
      <c r="G1886" s="30">
        <v>25</v>
      </c>
      <c r="H1886" s="30">
        <v>625</v>
      </c>
      <c r="I1886" s="30">
        <f t="shared" si="56"/>
        <v>26875</v>
      </c>
      <c r="J1886" s="33">
        <f t="shared" si="57"/>
        <v>37.209302325581397</v>
      </c>
    </row>
    <row r="1887" spans="6:10" ht="15">
      <c r="F1887" s="30">
        <v>29</v>
      </c>
      <c r="G1887" s="30">
        <v>26</v>
      </c>
      <c r="H1887" s="30">
        <v>650</v>
      </c>
      <c r="I1887" s="30">
        <f t="shared" si="56"/>
        <v>27950</v>
      </c>
      <c r="J1887" s="33">
        <f t="shared" si="57"/>
        <v>35.778175313059037</v>
      </c>
    </row>
    <row r="1888" spans="6:10" ht="15">
      <c r="F1888" s="30">
        <v>29</v>
      </c>
      <c r="G1888" s="30">
        <v>27</v>
      </c>
      <c r="H1888" s="30">
        <v>675</v>
      </c>
      <c r="I1888" s="30">
        <f t="shared" si="56"/>
        <v>29025</v>
      </c>
      <c r="J1888" s="33">
        <f t="shared" si="57"/>
        <v>34.453057708871661</v>
      </c>
    </row>
    <row r="1889" spans="6:10" ht="15">
      <c r="F1889" s="30">
        <v>29</v>
      </c>
      <c r="G1889" s="30">
        <v>28</v>
      </c>
      <c r="H1889" s="30">
        <v>700</v>
      </c>
      <c r="I1889" s="30">
        <f t="shared" si="56"/>
        <v>30100</v>
      </c>
      <c r="J1889" s="33">
        <f t="shared" si="57"/>
        <v>33.222591362126245</v>
      </c>
    </row>
    <row r="1890" spans="6:10" ht="15">
      <c r="F1890" s="30">
        <v>29</v>
      </c>
      <c r="G1890" s="30">
        <v>29</v>
      </c>
      <c r="H1890" s="30">
        <v>725</v>
      </c>
      <c r="I1890" s="30">
        <f t="shared" si="56"/>
        <v>31175</v>
      </c>
      <c r="J1890" s="33">
        <f t="shared" si="57"/>
        <v>32.076984763432243</v>
      </c>
    </row>
    <row r="1891" spans="6:10" ht="15">
      <c r="F1891" s="30">
        <v>29</v>
      </c>
      <c r="G1891" s="30">
        <v>30</v>
      </c>
      <c r="H1891" s="30">
        <v>750</v>
      </c>
      <c r="I1891" s="30">
        <f t="shared" si="56"/>
        <v>32250</v>
      </c>
      <c r="J1891" s="33">
        <f t="shared" si="57"/>
        <v>31.007751937984498</v>
      </c>
    </row>
    <row r="1892" spans="6:10" ht="15">
      <c r="F1892" s="30">
        <v>29</v>
      </c>
      <c r="G1892" s="30">
        <v>31</v>
      </c>
      <c r="H1892" s="30">
        <v>775</v>
      </c>
      <c r="I1892" s="30">
        <f t="shared" si="56"/>
        <v>33325</v>
      </c>
      <c r="J1892" s="33">
        <f t="shared" si="57"/>
        <v>30.007501875468865</v>
      </c>
    </row>
    <row r="1893" spans="6:10" ht="15">
      <c r="F1893" s="30">
        <v>29</v>
      </c>
      <c r="G1893" s="30">
        <v>32</v>
      </c>
      <c r="H1893" s="30">
        <v>800</v>
      </c>
      <c r="I1893" s="30">
        <f t="shared" si="56"/>
        <v>34400</v>
      </c>
      <c r="J1893" s="33">
        <f t="shared" si="57"/>
        <v>29.069767441860467</v>
      </c>
    </row>
    <row r="1894" spans="6:10" ht="15">
      <c r="F1894" s="30">
        <v>29</v>
      </c>
      <c r="G1894" s="30">
        <v>33</v>
      </c>
      <c r="H1894" s="30">
        <v>825</v>
      </c>
      <c r="I1894" s="30">
        <f t="shared" si="56"/>
        <v>35475</v>
      </c>
      <c r="J1894" s="33">
        <f t="shared" si="57"/>
        <v>28.188865398167724</v>
      </c>
    </row>
    <row r="1895" spans="6:10" ht="15">
      <c r="F1895" s="30">
        <v>29</v>
      </c>
      <c r="G1895" s="30">
        <v>34</v>
      </c>
      <c r="H1895" s="30">
        <v>850</v>
      </c>
      <c r="I1895" s="30">
        <f t="shared" si="56"/>
        <v>36550</v>
      </c>
      <c r="J1895" s="33">
        <f t="shared" si="57"/>
        <v>27.359781121751023</v>
      </c>
    </row>
    <row r="1896" spans="6:10" ht="15">
      <c r="F1896" s="30">
        <v>29</v>
      </c>
      <c r="G1896" s="30">
        <v>35</v>
      </c>
      <c r="H1896" s="30">
        <v>875</v>
      </c>
      <c r="I1896" s="30">
        <f t="shared" si="56"/>
        <v>37625</v>
      </c>
      <c r="J1896" s="33">
        <f t="shared" si="57"/>
        <v>26.578073089700997</v>
      </c>
    </row>
    <row r="1897" spans="6:10" ht="15">
      <c r="F1897" s="30">
        <v>29</v>
      </c>
      <c r="G1897" s="30">
        <v>36</v>
      </c>
      <c r="H1897" s="30">
        <v>900</v>
      </c>
      <c r="I1897" s="30">
        <f t="shared" si="56"/>
        <v>38700</v>
      </c>
      <c r="J1897" s="33">
        <f t="shared" si="57"/>
        <v>25.839793281653748</v>
      </c>
    </row>
    <row r="1898" spans="6:10" ht="15">
      <c r="F1898" s="30">
        <v>29</v>
      </c>
      <c r="G1898" s="30">
        <v>37</v>
      </c>
      <c r="H1898" s="30">
        <v>925</v>
      </c>
      <c r="I1898" s="30">
        <f t="shared" si="56"/>
        <v>39775</v>
      </c>
      <c r="J1898" s="33">
        <f t="shared" si="57"/>
        <v>25.141420490257701</v>
      </c>
    </row>
    <row r="1899" spans="6:10" ht="15">
      <c r="F1899" s="30">
        <v>29</v>
      </c>
      <c r="G1899" s="30">
        <v>38</v>
      </c>
      <c r="H1899" s="30">
        <v>950</v>
      </c>
      <c r="I1899" s="30">
        <f t="shared" si="56"/>
        <v>40850</v>
      </c>
      <c r="J1899" s="33">
        <f t="shared" si="57"/>
        <v>24.479804161566708</v>
      </c>
    </row>
    <row r="1900" spans="6:10" ht="15">
      <c r="F1900" s="30">
        <v>29</v>
      </c>
      <c r="G1900" s="30">
        <v>39</v>
      </c>
      <c r="H1900" s="30">
        <v>975</v>
      </c>
      <c r="I1900" s="30">
        <f t="shared" si="56"/>
        <v>41925</v>
      </c>
      <c r="J1900" s="33">
        <f t="shared" si="57"/>
        <v>23.85211687537269</v>
      </c>
    </row>
    <row r="1901" spans="6:10" ht="15">
      <c r="F1901" s="30">
        <v>29</v>
      </c>
      <c r="G1901" s="30">
        <v>40</v>
      </c>
      <c r="H1901" s="30">
        <v>1000</v>
      </c>
      <c r="I1901" s="30">
        <f t="shared" si="56"/>
        <v>43000</v>
      </c>
      <c r="J1901" s="33">
        <f t="shared" si="57"/>
        <v>23.255813953488371</v>
      </c>
    </row>
    <row r="1902" spans="6:10" ht="15">
      <c r="F1902" s="30">
        <v>29</v>
      </c>
      <c r="G1902" s="30">
        <v>41</v>
      </c>
      <c r="H1902" s="30">
        <v>1025</v>
      </c>
      <c r="I1902" s="30">
        <f t="shared" si="56"/>
        <v>44075</v>
      </c>
      <c r="J1902" s="33">
        <f t="shared" si="57"/>
        <v>22.688598979013047</v>
      </c>
    </row>
    <row r="1903" spans="6:10" ht="15">
      <c r="F1903" s="30">
        <v>29</v>
      </c>
      <c r="G1903" s="30">
        <v>42</v>
      </c>
      <c r="H1903" s="30">
        <v>1050</v>
      </c>
      <c r="I1903" s="30">
        <f t="shared" si="56"/>
        <v>45150</v>
      </c>
      <c r="J1903" s="33">
        <f t="shared" si="57"/>
        <v>22.148394241417499</v>
      </c>
    </row>
    <row r="1904" spans="6:10" ht="15">
      <c r="F1904" s="30">
        <v>29</v>
      </c>
      <c r="G1904" s="30">
        <v>43</v>
      </c>
      <c r="H1904" s="30">
        <v>1075</v>
      </c>
      <c r="I1904" s="30">
        <f t="shared" si="56"/>
        <v>46225</v>
      </c>
      <c r="J1904" s="33">
        <f t="shared" si="57"/>
        <v>21.633315305570576</v>
      </c>
    </row>
    <row r="1905" spans="6:10" ht="15">
      <c r="F1905" s="30">
        <v>29</v>
      </c>
      <c r="G1905" s="30">
        <v>44</v>
      </c>
      <c r="H1905" s="30">
        <v>1100</v>
      </c>
      <c r="I1905" s="30">
        <f t="shared" si="56"/>
        <v>47300</v>
      </c>
      <c r="J1905" s="33">
        <f t="shared" si="57"/>
        <v>21.141649048625791</v>
      </c>
    </row>
    <row r="1906" spans="6:10" ht="15">
      <c r="F1906" s="30">
        <v>29</v>
      </c>
      <c r="G1906" s="30">
        <v>45</v>
      </c>
      <c r="H1906" s="30">
        <v>1125</v>
      </c>
      <c r="I1906" s="30">
        <f t="shared" si="56"/>
        <v>48375</v>
      </c>
      <c r="J1906" s="33">
        <f t="shared" si="57"/>
        <v>20.671834625322997</v>
      </c>
    </row>
    <row r="1907" spans="6:10" ht="15">
      <c r="F1907" s="30">
        <v>29</v>
      </c>
      <c r="G1907" s="30">
        <v>46</v>
      </c>
      <c r="H1907" s="30">
        <v>1150</v>
      </c>
      <c r="I1907" s="30">
        <f t="shared" si="56"/>
        <v>49450</v>
      </c>
      <c r="J1907" s="33">
        <f t="shared" si="57"/>
        <v>20.222446916076848</v>
      </c>
    </row>
    <row r="1908" spans="6:10" ht="15">
      <c r="F1908" s="30">
        <v>29</v>
      </c>
      <c r="G1908" s="30">
        <v>47</v>
      </c>
      <c r="H1908" s="30">
        <v>1175</v>
      </c>
      <c r="I1908" s="30">
        <f t="shared" si="56"/>
        <v>50525</v>
      </c>
      <c r="J1908" s="33">
        <f t="shared" si="57"/>
        <v>19.792182088075212</v>
      </c>
    </row>
    <row r="1909" spans="6:10" ht="15">
      <c r="F1909" s="30">
        <v>29</v>
      </c>
      <c r="G1909" s="30">
        <v>48</v>
      </c>
      <c r="H1909" s="30">
        <v>1200</v>
      </c>
      <c r="I1909" s="30">
        <f t="shared" si="56"/>
        <v>51600</v>
      </c>
      <c r="J1909" s="33">
        <f t="shared" si="57"/>
        <v>19.379844961240313</v>
      </c>
    </row>
    <row r="1910" spans="6:10" ht="15">
      <c r="F1910" s="30">
        <v>29</v>
      </c>
      <c r="G1910" s="30">
        <v>49</v>
      </c>
      <c r="H1910" s="30">
        <v>1225</v>
      </c>
      <c r="I1910" s="30">
        <f t="shared" si="56"/>
        <v>52675</v>
      </c>
      <c r="J1910" s="33">
        <f t="shared" si="57"/>
        <v>18.984337921214998</v>
      </c>
    </row>
    <row r="1911" spans="6:10" ht="15">
      <c r="F1911" s="30">
        <v>29</v>
      </c>
      <c r="G1911" s="30">
        <v>50</v>
      </c>
      <c r="H1911" s="30">
        <v>1250</v>
      </c>
      <c r="I1911" s="30">
        <f t="shared" si="56"/>
        <v>53750</v>
      </c>
      <c r="J1911" s="33">
        <f t="shared" si="57"/>
        <v>18.604651162790699</v>
      </c>
    </row>
    <row r="1912" spans="6:10" ht="15">
      <c r="F1912" s="30">
        <v>29</v>
      </c>
      <c r="G1912" s="30">
        <v>51</v>
      </c>
      <c r="H1912" s="30">
        <v>1275</v>
      </c>
      <c r="I1912" s="30">
        <f t="shared" si="56"/>
        <v>54825</v>
      </c>
      <c r="J1912" s="33">
        <f t="shared" si="57"/>
        <v>18.239854081167351</v>
      </c>
    </row>
    <row r="1913" spans="6:10" ht="15">
      <c r="F1913" s="30">
        <v>29</v>
      </c>
      <c r="G1913" s="30">
        <v>52</v>
      </c>
      <c r="H1913" s="30">
        <v>1300</v>
      </c>
      <c r="I1913" s="30">
        <f t="shared" si="56"/>
        <v>55900</v>
      </c>
      <c r="J1913" s="33">
        <f t="shared" si="57"/>
        <v>17.889087656529519</v>
      </c>
    </row>
    <row r="1914" spans="6:10" ht="15">
      <c r="F1914" s="30">
        <v>29</v>
      </c>
      <c r="G1914" s="30">
        <v>53</v>
      </c>
      <c r="H1914" s="30">
        <v>1325</v>
      </c>
      <c r="I1914" s="30">
        <f t="shared" si="56"/>
        <v>56975</v>
      </c>
      <c r="J1914" s="33">
        <f t="shared" si="57"/>
        <v>17.551557700745942</v>
      </c>
    </row>
    <row r="1915" spans="6:10" ht="15">
      <c r="F1915" s="30">
        <v>29</v>
      </c>
      <c r="G1915" s="30">
        <v>54</v>
      </c>
      <c r="H1915" s="30">
        <v>1350</v>
      </c>
      <c r="I1915" s="30">
        <f t="shared" si="56"/>
        <v>58050</v>
      </c>
      <c r="J1915" s="33">
        <f t="shared" si="57"/>
        <v>17.226528854435831</v>
      </c>
    </row>
    <row r="1916" spans="6:10" ht="15">
      <c r="F1916" s="30">
        <v>29</v>
      </c>
      <c r="G1916" s="30">
        <v>55</v>
      </c>
      <c r="H1916" s="30">
        <v>1375</v>
      </c>
      <c r="I1916" s="30">
        <f t="shared" si="56"/>
        <v>59125</v>
      </c>
      <c r="J1916" s="33">
        <f t="shared" si="57"/>
        <v>16.913319238900634</v>
      </c>
    </row>
    <row r="1917" spans="6:10" ht="15">
      <c r="F1917" s="30">
        <v>29</v>
      </c>
      <c r="G1917" s="30">
        <v>56</v>
      </c>
      <c r="H1917" s="30">
        <v>1400</v>
      </c>
      <c r="I1917" s="30">
        <f t="shared" si="56"/>
        <v>60200</v>
      </c>
      <c r="J1917" s="33">
        <f t="shared" si="57"/>
        <v>16.611295681063122</v>
      </c>
    </row>
    <row r="1918" spans="6:10" ht="15">
      <c r="F1918" s="30">
        <v>29</v>
      </c>
      <c r="G1918" s="30">
        <v>57</v>
      </c>
      <c r="H1918" s="30">
        <v>1425</v>
      </c>
      <c r="I1918" s="30">
        <f t="shared" si="56"/>
        <v>61275</v>
      </c>
      <c r="J1918" s="33">
        <f t="shared" si="57"/>
        <v>16.319869441044474</v>
      </c>
    </row>
    <row r="1919" spans="6:10" ht="15">
      <c r="F1919" s="30">
        <v>29</v>
      </c>
      <c r="G1919" s="30">
        <v>58</v>
      </c>
      <c r="H1919" s="30">
        <v>1450</v>
      </c>
      <c r="I1919" s="30">
        <f t="shared" si="56"/>
        <v>62350</v>
      </c>
      <c r="J1919" s="33">
        <f t="shared" si="57"/>
        <v>16.038492381716122</v>
      </c>
    </row>
    <row r="1920" spans="6:10" ht="15">
      <c r="F1920" s="30">
        <v>29</v>
      </c>
      <c r="G1920" s="30">
        <v>59</v>
      </c>
      <c r="H1920" s="30">
        <v>1475</v>
      </c>
      <c r="I1920" s="30">
        <f t="shared" si="56"/>
        <v>63425</v>
      </c>
      <c r="J1920" s="33">
        <f t="shared" si="57"/>
        <v>15.766653527788728</v>
      </c>
    </row>
    <row r="1921" spans="6:10" ht="15">
      <c r="F1921" s="30">
        <v>29</v>
      </c>
      <c r="G1921" s="30">
        <v>60</v>
      </c>
      <c r="H1921" s="30">
        <v>1500</v>
      </c>
      <c r="I1921" s="30">
        <f t="shared" si="56"/>
        <v>64500</v>
      </c>
      <c r="J1921" s="33">
        <f t="shared" si="57"/>
        <v>15.503875968992249</v>
      </c>
    </row>
    <row r="1922" spans="6:10" ht="15">
      <c r="F1922" s="30">
        <v>29</v>
      </c>
      <c r="G1922" s="30">
        <v>61</v>
      </c>
      <c r="H1922" s="30">
        <v>1525</v>
      </c>
      <c r="I1922" s="30">
        <f t="shared" si="56"/>
        <v>65575</v>
      </c>
      <c r="J1922" s="33">
        <f t="shared" si="57"/>
        <v>15.249714067861227</v>
      </c>
    </row>
    <row r="1923" spans="6:10" ht="15">
      <c r="F1923" s="30">
        <v>29</v>
      </c>
      <c r="G1923" s="30">
        <v>62</v>
      </c>
      <c r="H1923" s="30">
        <v>1550</v>
      </c>
      <c r="I1923" s="30">
        <f t="shared" si="56"/>
        <v>66650</v>
      </c>
      <c r="J1923" s="33">
        <f t="shared" si="57"/>
        <v>15.003750937734432</v>
      </c>
    </row>
    <row r="1924" spans="6:10" ht="15">
      <c r="F1924" s="30">
        <v>29</v>
      </c>
      <c r="G1924" s="30">
        <v>63</v>
      </c>
      <c r="H1924" s="30">
        <v>1575</v>
      </c>
      <c r="I1924" s="30">
        <f t="shared" si="56"/>
        <v>67725</v>
      </c>
      <c r="J1924" s="33">
        <f t="shared" si="57"/>
        <v>14.765596160944998</v>
      </c>
    </row>
    <row r="1925" spans="6:10" ht="15">
      <c r="F1925" s="30">
        <v>29</v>
      </c>
      <c r="G1925" s="30">
        <v>64</v>
      </c>
      <c r="H1925" s="30">
        <v>1600</v>
      </c>
      <c r="I1925" s="30">
        <f t="shared" si="56"/>
        <v>68800</v>
      </c>
      <c r="J1925" s="33">
        <f t="shared" si="57"/>
        <v>14.534883720930234</v>
      </c>
    </row>
    <row r="1926" spans="6:10" ht="15">
      <c r="F1926" s="30">
        <v>30</v>
      </c>
      <c r="G1926" s="30">
        <v>1</v>
      </c>
      <c r="H1926" s="30">
        <v>25</v>
      </c>
      <c r="I1926" s="30">
        <f t="shared" si="56"/>
        <v>1100</v>
      </c>
      <c r="J1926" s="33">
        <f t="shared" si="57"/>
        <v>909.09090909090912</v>
      </c>
    </row>
    <row r="1927" spans="6:10" ht="15">
      <c r="F1927" s="30">
        <v>30</v>
      </c>
      <c r="G1927" s="30">
        <v>2</v>
      </c>
      <c r="H1927" s="30">
        <v>50</v>
      </c>
      <c r="I1927" s="30">
        <f t="shared" ref="I1927:I1990" si="58">(14+F1927)*H1927</f>
        <v>2200</v>
      </c>
      <c r="J1927" s="33">
        <f t="shared" ref="J1927:J1990" si="59">(1/I1927)*1000000</f>
        <v>454.54545454545456</v>
      </c>
    </row>
    <row r="1928" spans="6:10" ht="15">
      <c r="F1928" s="30">
        <v>30</v>
      </c>
      <c r="G1928" s="30">
        <v>3</v>
      </c>
      <c r="H1928" s="30">
        <v>75</v>
      </c>
      <c r="I1928" s="30">
        <f t="shared" si="58"/>
        <v>3300</v>
      </c>
      <c r="J1928" s="33">
        <f t="shared" si="59"/>
        <v>303.030303030303</v>
      </c>
    </row>
    <row r="1929" spans="6:10" ht="15">
      <c r="F1929" s="30">
        <v>30</v>
      </c>
      <c r="G1929" s="30">
        <v>4</v>
      </c>
      <c r="H1929" s="30">
        <v>100</v>
      </c>
      <c r="I1929" s="30">
        <f t="shared" si="58"/>
        <v>4400</v>
      </c>
      <c r="J1929" s="33">
        <f t="shared" si="59"/>
        <v>227.27272727272728</v>
      </c>
    </row>
    <row r="1930" spans="6:10" ht="15">
      <c r="F1930" s="30">
        <v>30</v>
      </c>
      <c r="G1930" s="30">
        <v>5</v>
      </c>
      <c r="H1930" s="30">
        <v>125</v>
      </c>
      <c r="I1930" s="30">
        <f t="shared" si="58"/>
        <v>5500</v>
      </c>
      <c r="J1930" s="33">
        <f t="shared" si="59"/>
        <v>181.81818181818181</v>
      </c>
    </row>
    <row r="1931" spans="6:10" ht="15">
      <c r="F1931" s="30">
        <v>30</v>
      </c>
      <c r="G1931" s="30">
        <v>6</v>
      </c>
      <c r="H1931" s="30">
        <v>150</v>
      </c>
      <c r="I1931" s="30">
        <f t="shared" si="58"/>
        <v>6600</v>
      </c>
      <c r="J1931" s="33">
        <f t="shared" si="59"/>
        <v>151.5151515151515</v>
      </c>
    </row>
    <row r="1932" spans="6:10" ht="15">
      <c r="F1932" s="30">
        <v>30</v>
      </c>
      <c r="G1932" s="30">
        <v>7</v>
      </c>
      <c r="H1932" s="30">
        <v>175</v>
      </c>
      <c r="I1932" s="30">
        <f t="shared" si="58"/>
        <v>7700</v>
      </c>
      <c r="J1932" s="33">
        <f t="shared" si="59"/>
        <v>129.87012987012986</v>
      </c>
    </row>
    <row r="1933" spans="6:10" ht="15">
      <c r="F1933" s="30">
        <v>30</v>
      </c>
      <c r="G1933" s="30">
        <v>8</v>
      </c>
      <c r="H1933" s="30">
        <v>200</v>
      </c>
      <c r="I1933" s="30">
        <f t="shared" si="58"/>
        <v>8800</v>
      </c>
      <c r="J1933" s="33">
        <f t="shared" si="59"/>
        <v>113.63636363636364</v>
      </c>
    </row>
    <row r="1934" spans="6:10" ht="15">
      <c r="F1934" s="30">
        <v>30</v>
      </c>
      <c r="G1934" s="30">
        <v>9</v>
      </c>
      <c r="H1934" s="30">
        <v>225</v>
      </c>
      <c r="I1934" s="30">
        <f t="shared" si="58"/>
        <v>9900</v>
      </c>
      <c r="J1934" s="33">
        <f t="shared" si="59"/>
        <v>101.01010101010101</v>
      </c>
    </row>
    <row r="1935" spans="6:10" ht="15">
      <c r="F1935" s="30">
        <v>30</v>
      </c>
      <c r="G1935" s="30">
        <v>10</v>
      </c>
      <c r="H1935" s="30">
        <v>250</v>
      </c>
      <c r="I1935" s="30">
        <f t="shared" si="58"/>
        <v>11000</v>
      </c>
      <c r="J1935" s="33">
        <f t="shared" si="59"/>
        <v>90.909090909090907</v>
      </c>
    </row>
    <row r="1936" spans="6:10" ht="15">
      <c r="F1936" s="30">
        <v>30</v>
      </c>
      <c r="G1936" s="30">
        <v>11</v>
      </c>
      <c r="H1936" s="30">
        <v>275</v>
      </c>
      <c r="I1936" s="30">
        <f t="shared" si="58"/>
        <v>12100</v>
      </c>
      <c r="J1936" s="33">
        <f t="shared" si="59"/>
        <v>82.644628099173559</v>
      </c>
    </row>
    <row r="1937" spans="6:10" ht="15">
      <c r="F1937" s="30">
        <v>30</v>
      </c>
      <c r="G1937" s="30">
        <v>12</v>
      </c>
      <c r="H1937" s="30">
        <v>300</v>
      </c>
      <c r="I1937" s="30">
        <f t="shared" si="58"/>
        <v>13200</v>
      </c>
      <c r="J1937" s="33">
        <f t="shared" si="59"/>
        <v>75.757575757575751</v>
      </c>
    </row>
    <row r="1938" spans="6:10" ht="15">
      <c r="F1938" s="30">
        <v>30</v>
      </c>
      <c r="G1938" s="30">
        <v>13</v>
      </c>
      <c r="H1938" s="30">
        <v>325</v>
      </c>
      <c r="I1938" s="30">
        <f t="shared" si="58"/>
        <v>14300</v>
      </c>
      <c r="J1938" s="33">
        <f t="shared" si="59"/>
        <v>69.930069930069934</v>
      </c>
    </row>
    <row r="1939" spans="6:10" ht="15">
      <c r="F1939" s="30">
        <v>30</v>
      </c>
      <c r="G1939" s="30">
        <v>14</v>
      </c>
      <c r="H1939" s="30">
        <v>350</v>
      </c>
      <c r="I1939" s="30">
        <f t="shared" si="58"/>
        <v>15400</v>
      </c>
      <c r="J1939" s="33">
        <f t="shared" si="59"/>
        <v>64.935064935064929</v>
      </c>
    </row>
    <row r="1940" spans="6:10" ht="15">
      <c r="F1940" s="30">
        <v>30</v>
      </c>
      <c r="G1940" s="30">
        <v>15</v>
      </c>
      <c r="H1940" s="30">
        <v>375</v>
      </c>
      <c r="I1940" s="30">
        <f t="shared" si="58"/>
        <v>16500</v>
      </c>
      <c r="J1940" s="33">
        <f t="shared" si="59"/>
        <v>60.606060606060602</v>
      </c>
    </row>
    <row r="1941" spans="6:10" ht="15">
      <c r="F1941" s="30">
        <v>30</v>
      </c>
      <c r="G1941" s="30">
        <v>16</v>
      </c>
      <c r="H1941" s="30">
        <v>400</v>
      </c>
      <c r="I1941" s="30">
        <f t="shared" si="58"/>
        <v>17600</v>
      </c>
      <c r="J1941" s="33">
        <f t="shared" si="59"/>
        <v>56.81818181818182</v>
      </c>
    </row>
    <row r="1942" spans="6:10" ht="15">
      <c r="F1942" s="30">
        <v>30</v>
      </c>
      <c r="G1942" s="30">
        <v>17</v>
      </c>
      <c r="H1942" s="30">
        <v>425</v>
      </c>
      <c r="I1942" s="30">
        <f t="shared" si="58"/>
        <v>18700</v>
      </c>
      <c r="J1942" s="33">
        <f t="shared" si="59"/>
        <v>53.475935828877006</v>
      </c>
    </row>
    <row r="1943" spans="6:10" ht="15">
      <c r="F1943" s="30">
        <v>30</v>
      </c>
      <c r="G1943" s="30">
        <v>18</v>
      </c>
      <c r="H1943" s="30">
        <v>450</v>
      </c>
      <c r="I1943" s="30">
        <f t="shared" si="58"/>
        <v>19800</v>
      </c>
      <c r="J1943" s="33">
        <f t="shared" si="59"/>
        <v>50.505050505050505</v>
      </c>
    </row>
    <row r="1944" spans="6:10" ht="15">
      <c r="F1944" s="30">
        <v>30</v>
      </c>
      <c r="G1944" s="30">
        <v>19</v>
      </c>
      <c r="H1944" s="30">
        <v>475</v>
      </c>
      <c r="I1944" s="30">
        <f t="shared" si="58"/>
        <v>20900</v>
      </c>
      <c r="J1944" s="33">
        <f t="shared" si="59"/>
        <v>47.846889952153113</v>
      </c>
    </row>
    <row r="1945" spans="6:10" ht="15">
      <c r="F1945" s="30">
        <v>30</v>
      </c>
      <c r="G1945" s="30">
        <v>20</v>
      </c>
      <c r="H1945" s="30">
        <v>500</v>
      </c>
      <c r="I1945" s="30">
        <f t="shared" si="58"/>
        <v>22000</v>
      </c>
      <c r="J1945" s="33">
        <f t="shared" si="59"/>
        <v>45.454545454545453</v>
      </c>
    </row>
    <row r="1946" spans="6:10" ht="15">
      <c r="F1946" s="30">
        <v>30</v>
      </c>
      <c r="G1946" s="30">
        <v>21</v>
      </c>
      <c r="H1946" s="30">
        <v>525</v>
      </c>
      <c r="I1946" s="30">
        <f t="shared" si="58"/>
        <v>23100</v>
      </c>
      <c r="J1946" s="33">
        <f t="shared" si="59"/>
        <v>43.290043290043293</v>
      </c>
    </row>
    <row r="1947" spans="6:10" ht="15">
      <c r="F1947" s="30">
        <v>30</v>
      </c>
      <c r="G1947" s="30">
        <v>22</v>
      </c>
      <c r="H1947" s="30">
        <v>550</v>
      </c>
      <c r="I1947" s="30">
        <f t="shared" si="58"/>
        <v>24200</v>
      </c>
      <c r="J1947" s="33">
        <f t="shared" si="59"/>
        <v>41.32231404958678</v>
      </c>
    </row>
    <row r="1948" spans="6:10" ht="15">
      <c r="F1948" s="30">
        <v>30</v>
      </c>
      <c r="G1948" s="30">
        <v>23</v>
      </c>
      <c r="H1948" s="30">
        <v>575</v>
      </c>
      <c r="I1948" s="30">
        <f t="shared" si="58"/>
        <v>25300</v>
      </c>
      <c r="J1948" s="33">
        <f t="shared" si="59"/>
        <v>39.525691699604742</v>
      </c>
    </row>
    <row r="1949" spans="6:10" ht="15">
      <c r="F1949" s="30">
        <v>30</v>
      </c>
      <c r="G1949" s="30">
        <v>24</v>
      </c>
      <c r="H1949" s="30">
        <v>600</v>
      </c>
      <c r="I1949" s="30">
        <f t="shared" si="58"/>
        <v>26400</v>
      </c>
      <c r="J1949" s="33">
        <f t="shared" si="59"/>
        <v>37.878787878787875</v>
      </c>
    </row>
    <row r="1950" spans="6:10" ht="15">
      <c r="F1950" s="30">
        <v>30</v>
      </c>
      <c r="G1950" s="30">
        <v>25</v>
      </c>
      <c r="H1950" s="30">
        <v>625</v>
      </c>
      <c r="I1950" s="30">
        <f t="shared" si="58"/>
        <v>27500</v>
      </c>
      <c r="J1950" s="33">
        <f t="shared" si="59"/>
        <v>36.363636363636367</v>
      </c>
    </row>
    <row r="1951" spans="6:10" ht="15">
      <c r="F1951" s="30">
        <v>30</v>
      </c>
      <c r="G1951" s="30">
        <v>26</v>
      </c>
      <c r="H1951" s="30">
        <v>650</v>
      </c>
      <c r="I1951" s="30">
        <f t="shared" si="58"/>
        <v>28600</v>
      </c>
      <c r="J1951" s="33">
        <f t="shared" si="59"/>
        <v>34.965034965034967</v>
      </c>
    </row>
    <row r="1952" spans="6:10" ht="15">
      <c r="F1952" s="30">
        <v>30</v>
      </c>
      <c r="G1952" s="30">
        <v>27</v>
      </c>
      <c r="H1952" s="30">
        <v>675</v>
      </c>
      <c r="I1952" s="30">
        <f t="shared" si="58"/>
        <v>29700</v>
      </c>
      <c r="J1952" s="33">
        <f t="shared" si="59"/>
        <v>33.670033670033668</v>
      </c>
    </row>
    <row r="1953" spans="6:10" ht="15">
      <c r="F1953" s="30">
        <v>30</v>
      </c>
      <c r="G1953" s="30">
        <v>28</v>
      </c>
      <c r="H1953" s="30">
        <v>700</v>
      </c>
      <c r="I1953" s="30">
        <f t="shared" si="58"/>
        <v>30800</v>
      </c>
      <c r="J1953" s="33">
        <f t="shared" si="59"/>
        <v>32.467532467532465</v>
      </c>
    </row>
    <row r="1954" spans="6:10" ht="15">
      <c r="F1954" s="30">
        <v>30</v>
      </c>
      <c r="G1954" s="30">
        <v>29</v>
      </c>
      <c r="H1954" s="30">
        <v>725</v>
      </c>
      <c r="I1954" s="30">
        <f t="shared" si="58"/>
        <v>31900</v>
      </c>
      <c r="J1954" s="33">
        <f t="shared" si="59"/>
        <v>31.347962382445143</v>
      </c>
    </row>
    <row r="1955" spans="6:10" ht="15">
      <c r="F1955" s="30">
        <v>30</v>
      </c>
      <c r="G1955" s="30">
        <v>30</v>
      </c>
      <c r="H1955" s="30">
        <v>750</v>
      </c>
      <c r="I1955" s="30">
        <f t="shared" si="58"/>
        <v>33000</v>
      </c>
      <c r="J1955" s="33">
        <f t="shared" si="59"/>
        <v>30.303030303030301</v>
      </c>
    </row>
    <row r="1956" spans="6:10" ht="15">
      <c r="F1956" s="30">
        <v>30</v>
      </c>
      <c r="G1956" s="30">
        <v>31</v>
      </c>
      <c r="H1956" s="30">
        <v>775</v>
      </c>
      <c r="I1956" s="30">
        <f t="shared" si="58"/>
        <v>34100</v>
      </c>
      <c r="J1956" s="33">
        <f t="shared" si="59"/>
        <v>29.325513196480937</v>
      </c>
    </row>
    <row r="1957" spans="6:10" ht="15">
      <c r="F1957" s="30">
        <v>30</v>
      </c>
      <c r="G1957" s="30">
        <v>32</v>
      </c>
      <c r="H1957" s="30">
        <v>800</v>
      </c>
      <c r="I1957" s="30">
        <f t="shared" si="58"/>
        <v>35200</v>
      </c>
      <c r="J1957" s="33">
        <f t="shared" si="59"/>
        <v>28.40909090909091</v>
      </c>
    </row>
    <row r="1958" spans="6:10" ht="15">
      <c r="F1958" s="30">
        <v>30</v>
      </c>
      <c r="G1958" s="30">
        <v>33</v>
      </c>
      <c r="H1958" s="30">
        <v>825</v>
      </c>
      <c r="I1958" s="30">
        <f t="shared" si="58"/>
        <v>36300</v>
      </c>
      <c r="J1958" s="33">
        <f t="shared" si="59"/>
        <v>27.548209366391184</v>
      </c>
    </row>
    <row r="1959" spans="6:10" ht="15">
      <c r="F1959" s="30">
        <v>30</v>
      </c>
      <c r="G1959" s="30">
        <v>34</v>
      </c>
      <c r="H1959" s="30">
        <v>850</v>
      </c>
      <c r="I1959" s="30">
        <f t="shared" si="58"/>
        <v>37400</v>
      </c>
      <c r="J1959" s="33">
        <f t="shared" si="59"/>
        <v>26.737967914438503</v>
      </c>
    </row>
    <row r="1960" spans="6:10" ht="15">
      <c r="F1960" s="30">
        <v>30</v>
      </c>
      <c r="G1960" s="30">
        <v>35</v>
      </c>
      <c r="H1960" s="30">
        <v>875</v>
      </c>
      <c r="I1960" s="30">
        <f t="shared" si="58"/>
        <v>38500</v>
      </c>
      <c r="J1960" s="33">
        <f t="shared" si="59"/>
        <v>25.974025974025974</v>
      </c>
    </row>
    <row r="1961" spans="6:10" ht="15">
      <c r="F1961" s="30">
        <v>30</v>
      </c>
      <c r="G1961" s="30">
        <v>36</v>
      </c>
      <c r="H1961" s="30">
        <v>900</v>
      </c>
      <c r="I1961" s="30">
        <f t="shared" si="58"/>
        <v>39600</v>
      </c>
      <c r="J1961" s="33">
        <f t="shared" si="59"/>
        <v>25.252525252525253</v>
      </c>
    </row>
    <row r="1962" spans="6:10" ht="15">
      <c r="F1962" s="30">
        <v>30</v>
      </c>
      <c r="G1962" s="30">
        <v>37</v>
      </c>
      <c r="H1962" s="30">
        <v>925</v>
      </c>
      <c r="I1962" s="30">
        <f t="shared" si="58"/>
        <v>40700</v>
      </c>
      <c r="J1962" s="33">
        <f t="shared" si="59"/>
        <v>24.570024570024572</v>
      </c>
    </row>
    <row r="1963" spans="6:10" ht="15">
      <c r="F1963" s="30">
        <v>30</v>
      </c>
      <c r="G1963" s="30">
        <v>38</v>
      </c>
      <c r="H1963" s="30">
        <v>950</v>
      </c>
      <c r="I1963" s="30">
        <f t="shared" si="58"/>
        <v>41800</v>
      </c>
      <c r="J1963" s="33">
        <f t="shared" si="59"/>
        <v>23.923444976076556</v>
      </c>
    </row>
    <row r="1964" spans="6:10" ht="15">
      <c r="F1964" s="30">
        <v>30</v>
      </c>
      <c r="G1964" s="30">
        <v>39</v>
      </c>
      <c r="H1964" s="30">
        <v>975</v>
      </c>
      <c r="I1964" s="30">
        <f t="shared" si="58"/>
        <v>42900</v>
      </c>
      <c r="J1964" s="33">
        <f t="shared" si="59"/>
        <v>23.310023310023311</v>
      </c>
    </row>
    <row r="1965" spans="6:10" ht="15">
      <c r="F1965" s="30">
        <v>30</v>
      </c>
      <c r="G1965" s="30">
        <v>40</v>
      </c>
      <c r="H1965" s="30">
        <v>1000</v>
      </c>
      <c r="I1965" s="30">
        <f t="shared" si="58"/>
        <v>44000</v>
      </c>
      <c r="J1965" s="33">
        <f t="shared" si="59"/>
        <v>22.727272727272727</v>
      </c>
    </row>
    <row r="1966" spans="6:10" ht="15">
      <c r="F1966" s="30">
        <v>30</v>
      </c>
      <c r="G1966" s="30">
        <v>41</v>
      </c>
      <c r="H1966" s="30">
        <v>1025</v>
      </c>
      <c r="I1966" s="30">
        <f t="shared" si="58"/>
        <v>45100</v>
      </c>
      <c r="J1966" s="33">
        <f t="shared" si="59"/>
        <v>22.172949002217294</v>
      </c>
    </row>
    <row r="1967" spans="6:10" ht="15">
      <c r="F1967" s="30">
        <v>30</v>
      </c>
      <c r="G1967" s="30">
        <v>42</v>
      </c>
      <c r="H1967" s="30">
        <v>1050</v>
      </c>
      <c r="I1967" s="30">
        <f t="shared" si="58"/>
        <v>46200</v>
      </c>
      <c r="J1967" s="33">
        <f t="shared" si="59"/>
        <v>21.645021645021647</v>
      </c>
    </row>
    <row r="1968" spans="6:10" ht="15">
      <c r="F1968" s="30">
        <v>30</v>
      </c>
      <c r="G1968" s="30">
        <v>43</v>
      </c>
      <c r="H1968" s="30">
        <v>1075</v>
      </c>
      <c r="I1968" s="30">
        <f t="shared" si="58"/>
        <v>47300</v>
      </c>
      <c r="J1968" s="33">
        <f t="shared" si="59"/>
        <v>21.141649048625791</v>
      </c>
    </row>
    <row r="1969" spans="6:10" ht="15">
      <c r="F1969" s="30">
        <v>30</v>
      </c>
      <c r="G1969" s="30">
        <v>44</v>
      </c>
      <c r="H1969" s="30">
        <v>1100</v>
      </c>
      <c r="I1969" s="30">
        <f t="shared" si="58"/>
        <v>48400</v>
      </c>
      <c r="J1969" s="33">
        <f t="shared" si="59"/>
        <v>20.66115702479339</v>
      </c>
    </row>
    <row r="1970" spans="6:10" ht="15">
      <c r="F1970" s="30">
        <v>30</v>
      </c>
      <c r="G1970" s="30">
        <v>45</v>
      </c>
      <c r="H1970" s="30">
        <v>1125</v>
      </c>
      <c r="I1970" s="30">
        <f t="shared" si="58"/>
        <v>49500</v>
      </c>
      <c r="J1970" s="33">
        <f t="shared" si="59"/>
        <v>20.202020202020204</v>
      </c>
    </row>
    <row r="1971" spans="6:10" ht="15">
      <c r="F1971" s="30">
        <v>30</v>
      </c>
      <c r="G1971" s="30">
        <v>46</v>
      </c>
      <c r="H1971" s="30">
        <v>1150</v>
      </c>
      <c r="I1971" s="30">
        <f t="shared" si="58"/>
        <v>50600</v>
      </c>
      <c r="J1971" s="33">
        <f t="shared" si="59"/>
        <v>19.762845849802371</v>
      </c>
    </row>
    <row r="1972" spans="6:10" ht="15">
      <c r="F1972" s="30">
        <v>30</v>
      </c>
      <c r="G1972" s="30">
        <v>47</v>
      </c>
      <c r="H1972" s="30">
        <v>1175</v>
      </c>
      <c r="I1972" s="30">
        <f t="shared" si="58"/>
        <v>51700</v>
      </c>
      <c r="J1972" s="33">
        <f t="shared" si="59"/>
        <v>19.342359767891683</v>
      </c>
    </row>
    <row r="1973" spans="6:10" ht="15">
      <c r="F1973" s="30">
        <v>30</v>
      </c>
      <c r="G1973" s="30">
        <v>48</v>
      </c>
      <c r="H1973" s="30">
        <v>1200</v>
      </c>
      <c r="I1973" s="30">
        <f t="shared" si="58"/>
        <v>52800</v>
      </c>
      <c r="J1973" s="33">
        <f t="shared" si="59"/>
        <v>18.939393939393938</v>
      </c>
    </row>
    <row r="1974" spans="6:10" ht="15">
      <c r="F1974" s="30">
        <v>30</v>
      </c>
      <c r="G1974" s="30">
        <v>49</v>
      </c>
      <c r="H1974" s="30">
        <v>1225</v>
      </c>
      <c r="I1974" s="30">
        <f t="shared" si="58"/>
        <v>53900</v>
      </c>
      <c r="J1974" s="33">
        <f t="shared" si="59"/>
        <v>18.552875695732837</v>
      </c>
    </row>
    <row r="1975" spans="6:10" ht="15">
      <c r="F1975" s="30">
        <v>30</v>
      </c>
      <c r="G1975" s="30">
        <v>50</v>
      </c>
      <c r="H1975" s="30">
        <v>1250</v>
      </c>
      <c r="I1975" s="30">
        <f t="shared" si="58"/>
        <v>55000</v>
      </c>
      <c r="J1975" s="33">
        <f t="shared" si="59"/>
        <v>18.181818181818183</v>
      </c>
    </row>
    <row r="1976" spans="6:10" ht="15">
      <c r="F1976" s="30">
        <v>30</v>
      </c>
      <c r="G1976" s="30">
        <v>51</v>
      </c>
      <c r="H1976" s="30">
        <v>1275</v>
      </c>
      <c r="I1976" s="30">
        <f t="shared" si="58"/>
        <v>56100</v>
      </c>
      <c r="J1976" s="33">
        <f t="shared" si="59"/>
        <v>17.825311942959001</v>
      </c>
    </row>
    <row r="1977" spans="6:10" ht="15">
      <c r="F1977" s="30">
        <v>30</v>
      </c>
      <c r="G1977" s="30">
        <v>52</v>
      </c>
      <c r="H1977" s="30">
        <v>1300</v>
      </c>
      <c r="I1977" s="30">
        <f t="shared" si="58"/>
        <v>57200</v>
      </c>
      <c r="J1977" s="33">
        <f t="shared" si="59"/>
        <v>17.482517482517483</v>
      </c>
    </row>
    <row r="1978" spans="6:10" ht="15">
      <c r="F1978" s="30">
        <v>30</v>
      </c>
      <c r="G1978" s="30">
        <v>53</v>
      </c>
      <c r="H1978" s="30">
        <v>1325</v>
      </c>
      <c r="I1978" s="30">
        <f t="shared" si="58"/>
        <v>58300</v>
      </c>
      <c r="J1978" s="33">
        <f t="shared" si="59"/>
        <v>17.152658662092627</v>
      </c>
    </row>
    <row r="1979" spans="6:10" ht="15">
      <c r="F1979" s="30">
        <v>30</v>
      </c>
      <c r="G1979" s="30">
        <v>54</v>
      </c>
      <c r="H1979" s="30">
        <v>1350</v>
      </c>
      <c r="I1979" s="30">
        <f t="shared" si="58"/>
        <v>59400</v>
      </c>
      <c r="J1979" s="33">
        <f t="shared" si="59"/>
        <v>16.835016835016834</v>
      </c>
    </row>
    <row r="1980" spans="6:10" ht="15">
      <c r="F1980" s="30">
        <v>30</v>
      </c>
      <c r="G1980" s="30">
        <v>55</v>
      </c>
      <c r="H1980" s="30">
        <v>1375</v>
      </c>
      <c r="I1980" s="30">
        <f t="shared" si="58"/>
        <v>60500</v>
      </c>
      <c r="J1980" s="33">
        <f t="shared" si="59"/>
        <v>16.528925619834713</v>
      </c>
    </row>
    <row r="1981" spans="6:10" ht="15">
      <c r="F1981" s="30">
        <v>30</v>
      </c>
      <c r="G1981" s="30">
        <v>56</v>
      </c>
      <c r="H1981" s="30">
        <v>1400</v>
      </c>
      <c r="I1981" s="30">
        <f t="shared" si="58"/>
        <v>61600</v>
      </c>
      <c r="J1981" s="33">
        <f t="shared" si="59"/>
        <v>16.233766233766232</v>
      </c>
    </row>
    <row r="1982" spans="6:10" ht="15">
      <c r="F1982" s="30">
        <v>30</v>
      </c>
      <c r="G1982" s="30">
        <v>57</v>
      </c>
      <c r="H1982" s="30">
        <v>1425</v>
      </c>
      <c r="I1982" s="30">
        <f t="shared" si="58"/>
        <v>62700</v>
      </c>
      <c r="J1982" s="33">
        <f t="shared" si="59"/>
        <v>15.948963317384372</v>
      </c>
    </row>
    <row r="1983" spans="6:10" ht="15">
      <c r="F1983" s="30">
        <v>30</v>
      </c>
      <c r="G1983" s="30">
        <v>58</v>
      </c>
      <c r="H1983" s="30">
        <v>1450</v>
      </c>
      <c r="I1983" s="30">
        <f t="shared" si="58"/>
        <v>63800</v>
      </c>
      <c r="J1983" s="33">
        <f t="shared" si="59"/>
        <v>15.673981191222571</v>
      </c>
    </row>
    <row r="1984" spans="6:10" ht="15">
      <c r="F1984" s="30">
        <v>30</v>
      </c>
      <c r="G1984" s="30">
        <v>59</v>
      </c>
      <c r="H1984" s="30">
        <v>1475</v>
      </c>
      <c r="I1984" s="30">
        <f t="shared" si="58"/>
        <v>64900</v>
      </c>
      <c r="J1984" s="33">
        <f t="shared" si="59"/>
        <v>15.408320493066254</v>
      </c>
    </row>
    <row r="1985" spans="6:10" ht="15">
      <c r="F1985" s="30">
        <v>30</v>
      </c>
      <c r="G1985" s="30">
        <v>60</v>
      </c>
      <c r="H1985" s="30">
        <v>1500</v>
      </c>
      <c r="I1985" s="30">
        <f t="shared" si="58"/>
        <v>66000</v>
      </c>
      <c r="J1985" s="33">
        <f t="shared" si="59"/>
        <v>15.15151515151515</v>
      </c>
    </row>
    <row r="1986" spans="6:10" ht="15">
      <c r="F1986" s="30">
        <v>30</v>
      </c>
      <c r="G1986" s="30">
        <v>61</v>
      </c>
      <c r="H1986" s="30">
        <v>1525</v>
      </c>
      <c r="I1986" s="30">
        <f t="shared" si="58"/>
        <v>67100</v>
      </c>
      <c r="J1986" s="33">
        <f t="shared" si="59"/>
        <v>14.903129657228018</v>
      </c>
    </row>
    <row r="1987" spans="6:10" ht="15">
      <c r="F1987" s="30">
        <v>30</v>
      </c>
      <c r="G1987" s="30">
        <v>62</v>
      </c>
      <c r="H1987" s="30">
        <v>1550</v>
      </c>
      <c r="I1987" s="30">
        <f t="shared" si="58"/>
        <v>68200</v>
      </c>
      <c r="J1987" s="33">
        <f t="shared" si="59"/>
        <v>14.662756598240469</v>
      </c>
    </row>
    <row r="1988" spans="6:10" ht="15">
      <c r="F1988" s="30">
        <v>30</v>
      </c>
      <c r="G1988" s="30">
        <v>63</v>
      </c>
      <c r="H1988" s="30">
        <v>1575</v>
      </c>
      <c r="I1988" s="30">
        <f t="shared" si="58"/>
        <v>69300</v>
      </c>
      <c r="J1988" s="33">
        <f t="shared" si="59"/>
        <v>14.430014430014429</v>
      </c>
    </row>
    <row r="1989" spans="6:10" ht="15">
      <c r="F1989" s="30">
        <v>30</v>
      </c>
      <c r="G1989" s="30">
        <v>64</v>
      </c>
      <c r="H1989" s="30">
        <v>1600</v>
      </c>
      <c r="I1989" s="30">
        <f t="shared" si="58"/>
        <v>70400</v>
      </c>
      <c r="J1989" s="33">
        <f t="shared" si="59"/>
        <v>14.204545454545455</v>
      </c>
    </row>
    <row r="1990" spans="6:10" ht="15">
      <c r="F1990" s="30">
        <v>31</v>
      </c>
      <c r="G1990" s="30">
        <v>1</v>
      </c>
      <c r="H1990" s="30">
        <v>25</v>
      </c>
      <c r="I1990" s="30">
        <f t="shared" si="58"/>
        <v>1125</v>
      </c>
      <c r="J1990" s="33">
        <f t="shared" si="59"/>
        <v>888.88888888888891</v>
      </c>
    </row>
    <row r="1991" spans="6:10" ht="15">
      <c r="F1991" s="30">
        <v>31</v>
      </c>
      <c r="G1991" s="30">
        <v>2</v>
      </c>
      <c r="H1991" s="30">
        <v>50</v>
      </c>
      <c r="I1991" s="30">
        <f t="shared" ref="I1991:I2053" si="60">(14+F1991)*H1991</f>
        <v>2250</v>
      </c>
      <c r="J1991" s="33">
        <f t="shared" ref="J1991:J2053" si="61">(1/I1991)*1000000</f>
        <v>444.44444444444446</v>
      </c>
    </row>
    <row r="1992" spans="6:10" ht="15">
      <c r="F1992" s="30">
        <v>31</v>
      </c>
      <c r="G1992" s="30">
        <v>3</v>
      </c>
      <c r="H1992" s="30">
        <v>75</v>
      </c>
      <c r="I1992" s="30">
        <f t="shared" si="60"/>
        <v>3375</v>
      </c>
      <c r="J1992" s="33">
        <f t="shared" si="61"/>
        <v>296.2962962962963</v>
      </c>
    </row>
    <row r="1993" spans="6:10" ht="15">
      <c r="F1993" s="30">
        <v>31</v>
      </c>
      <c r="G1993" s="30">
        <v>4</v>
      </c>
      <c r="H1993" s="30">
        <v>100</v>
      </c>
      <c r="I1993" s="30">
        <f t="shared" si="60"/>
        <v>4500</v>
      </c>
      <c r="J1993" s="33">
        <f t="shared" si="61"/>
        <v>222.22222222222223</v>
      </c>
    </row>
    <row r="1994" spans="6:10" ht="15">
      <c r="F1994" s="30">
        <v>31</v>
      </c>
      <c r="G1994" s="30">
        <v>5</v>
      </c>
      <c r="H1994" s="30">
        <v>125</v>
      </c>
      <c r="I1994" s="30">
        <f t="shared" si="60"/>
        <v>5625</v>
      </c>
      <c r="J1994" s="33">
        <f t="shared" si="61"/>
        <v>177.7777777777778</v>
      </c>
    </row>
    <row r="1995" spans="6:10" ht="15">
      <c r="F1995" s="30">
        <v>31</v>
      </c>
      <c r="G1995" s="30">
        <v>6</v>
      </c>
      <c r="H1995" s="30">
        <v>150</v>
      </c>
      <c r="I1995" s="30">
        <f t="shared" si="60"/>
        <v>6750</v>
      </c>
      <c r="J1995" s="33">
        <f t="shared" si="61"/>
        <v>148.14814814814815</v>
      </c>
    </row>
    <row r="1996" spans="6:10" ht="15">
      <c r="F1996" s="30">
        <v>31</v>
      </c>
      <c r="G1996" s="30">
        <v>7</v>
      </c>
      <c r="H1996" s="30">
        <v>175</v>
      </c>
      <c r="I1996" s="30">
        <f t="shared" si="60"/>
        <v>7875</v>
      </c>
      <c r="J1996" s="33">
        <f t="shared" si="61"/>
        <v>126.98412698412697</v>
      </c>
    </row>
    <row r="1997" spans="6:10" ht="15">
      <c r="F1997" s="30">
        <v>31</v>
      </c>
      <c r="G1997" s="30">
        <v>8</v>
      </c>
      <c r="H1997" s="30">
        <v>200</v>
      </c>
      <c r="I1997" s="30">
        <f t="shared" si="60"/>
        <v>9000</v>
      </c>
      <c r="J1997" s="33">
        <f t="shared" si="61"/>
        <v>111.11111111111111</v>
      </c>
    </row>
    <row r="1998" spans="6:10" ht="15">
      <c r="F1998" s="30">
        <v>31</v>
      </c>
      <c r="G1998" s="30">
        <v>9</v>
      </c>
      <c r="H1998" s="30">
        <v>225</v>
      </c>
      <c r="I1998" s="30">
        <f t="shared" si="60"/>
        <v>10125</v>
      </c>
      <c r="J1998" s="33">
        <f t="shared" si="61"/>
        <v>98.76543209876543</v>
      </c>
    </row>
    <row r="1999" spans="6:10" ht="15">
      <c r="F1999" s="30">
        <v>31</v>
      </c>
      <c r="G1999" s="30">
        <v>10</v>
      </c>
      <c r="H1999" s="30">
        <v>250</v>
      </c>
      <c r="I1999" s="30">
        <f t="shared" si="60"/>
        <v>11250</v>
      </c>
      <c r="J1999" s="33">
        <f t="shared" si="61"/>
        <v>88.8888888888889</v>
      </c>
    </row>
    <row r="2000" spans="6:10" ht="15">
      <c r="F2000" s="30">
        <v>31</v>
      </c>
      <c r="G2000" s="30">
        <v>11</v>
      </c>
      <c r="H2000" s="30">
        <v>275</v>
      </c>
      <c r="I2000" s="30">
        <f t="shared" si="60"/>
        <v>12375</v>
      </c>
      <c r="J2000" s="33">
        <f t="shared" si="61"/>
        <v>80.808080808080817</v>
      </c>
    </row>
    <row r="2001" spans="6:10" ht="15">
      <c r="F2001" s="30">
        <v>31</v>
      </c>
      <c r="G2001" s="30">
        <v>12</v>
      </c>
      <c r="H2001" s="30">
        <v>300</v>
      </c>
      <c r="I2001" s="30">
        <f t="shared" si="60"/>
        <v>13500</v>
      </c>
      <c r="J2001" s="33">
        <f t="shared" si="61"/>
        <v>74.074074074074076</v>
      </c>
    </row>
    <row r="2002" spans="6:10" ht="15">
      <c r="F2002" s="30">
        <v>31</v>
      </c>
      <c r="G2002" s="30">
        <v>13</v>
      </c>
      <c r="H2002" s="30">
        <v>325</v>
      </c>
      <c r="I2002" s="30">
        <f t="shared" si="60"/>
        <v>14625</v>
      </c>
      <c r="J2002" s="33">
        <f t="shared" si="61"/>
        <v>68.376068376068375</v>
      </c>
    </row>
    <row r="2003" spans="6:10" ht="15">
      <c r="F2003" s="30">
        <v>31</v>
      </c>
      <c r="G2003" s="30">
        <v>14</v>
      </c>
      <c r="H2003" s="30">
        <v>350</v>
      </c>
      <c r="I2003" s="30">
        <f t="shared" si="60"/>
        <v>15750</v>
      </c>
      <c r="J2003" s="33">
        <f t="shared" si="61"/>
        <v>63.492063492063487</v>
      </c>
    </row>
    <row r="2004" spans="6:10" ht="15">
      <c r="F2004" s="30">
        <v>31</v>
      </c>
      <c r="G2004" s="30">
        <v>15</v>
      </c>
      <c r="H2004" s="30">
        <v>375</v>
      </c>
      <c r="I2004" s="30">
        <f t="shared" si="60"/>
        <v>16875</v>
      </c>
      <c r="J2004" s="33">
        <f t="shared" si="61"/>
        <v>59.25925925925926</v>
      </c>
    </row>
    <row r="2005" spans="6:10" ht="15">
      <c r="F2005" s="30">
        <v>31</v>
      </c>
      <c r="G2005" s="30">
        <v>16</v>
      </c>
      <c r="H2005" s="30">
        <v>400</v>
      </c>
      <c r="I2005" s="30">
        <f t="shared" si="60"/>
        <v>18000</v>
      </c>
      <c r="J2005" s="33">
        <f t="shared" si="61"/>
        <v>55.555555555555557</v>
      </c>
    </row>
    <row r="2006" spans="6:10" ht="15">
      <c r="F2006" s="30">
        <v>31</v>
      </c>
      <c r="G2006" s="30">
        <v>17</v>
      </c>
      <c r="H2006" s="30">
        <v>425</v>
      </c>
      <c r="I2006" s="30">
        <f t="shared" si="60"/>
        <v>19125</v>
      </c>
      <c r="J2006" s="33">
        <f t="shared" si="61"/>
        <v>52.287581699346404</v>
      </c>
    </row>
    <row r="2007" spans="6:10" ht="15">
      <c r="F2007" s="30">
        <v>31</v>
      </c>
      <c r="G2007" s="30">
        <v>18</v>
      </c>
      <c r="H2007" s="30">
        <v>450</v>
      </c>
      <c r="I2007" s="30">
        <f t="shared" si="60"/>
        <v>20250</v>
      </c>
      <c r="J2007" s="33">
        <f t="shared" si="61"/>
        <v>49.382716049382715</v>
      </c>
    </row>
    <row r="2008" spans="6:10" ht="15">
      <c r="F2008" s="30">
        <v>31</v>
      </c>
      <c r="G2008" s="30">
        <v>19</v>
      </c>
      <c r="H2008" s="30">
        <v>475</v>
      </c>
      <c r="I2008" s="30">
        <f t="shared" si="60"/>
        <v>21375</v>
      </c>
      <c r="J2008" s="33">
        <f t="shared" si="61"/>
        <v>46.783625730994153</v>
      </c>
    </row>
    <row r="2009" spans="6:10" ht="15">
      <c r="F2009" s="30">
        <v>31</v>
      </c>
      <c r="G2009" s="30">
        <v>20</v>
      </c>
      <c r="H2009" s="30">
        <v>500</v>
      </c>
      <c r="I2009" s="30">
        <f t="shared" si="60"/>
        <v>22500</v>
      </c>
      <c r="J2009" s="33">
        <f t="shared" si="61"/>
        <v>44.44444444444445</v>
      </c>
    </row>
    <row r="2010" spans="6:10" ht="15">
      <c r="F2010" s="30">
        <v>31</v>
      </c>
      <c r="G2010" s="30">
        <v>21</v>
      </c>
      <c r="H2010" s="30">
        <v>525</v>
      </c>
      <c r="I2010" s="30">
        <f t="shared" si="60"/>
        <v>23625</v>
      </c>
      <c r="J2010" s="33">
        <f t="shared" si="61"/>
        <v>42.328042328042329</v>
      </c>
    </row>
    <row r="2011" spans="6:10" ht="15">
      <c r="F2011" s="30">
        <v>31</v>
      </c>
      <c r="G2011" s="30">
        <v>22</v>
      </c>
      <c r="H2011" s="30">
        <v>550</v>
      </c>
      <c r="I2011" s="30">
        <f t="shared" si="60"/>
        <v>24750</v>
      </c>
      <c r="J2011" s="33">
        <f t="shared" si="61"/>
        <v>40.404040404040408</v>
      </c>
    </row>
    <row r="2012" spans="6:10" ht="15">
      <c r="F2012" s="30">
        <v>31</v>
      </c>
      <c r="G2012" s="30">
        <v>23</v>
      </c>
      <c r="H2012" s="30">
        <v>575</v>
      </c>
      <c r="I2012" s="30">
        <f t="shared" si="60"/>
        <v>25875</v>
      </c>
      <c r="J2012" s="33">
        <f t="shared" si="61"/>
        <v>38.647342995169083</v>
      </c>
    </row>
    <row r="2013" spans="6:10" ht="15">
      <c r="F2013" s="30">
        <v>31</v>
      </c>
      <c r="G2013" s="30">
        <v>24</v>
      </c>
      <c r="H2013" s="30">
        <v>600</v>
      </c>
      <c r="I2013" s="30">
        <f t="shared" si="60"/>
        <v>27000</v>
      </c>
      <c r="J2013" s="33">
        <f t="shared" si="61"/>
        <v>37.037037037037038</v>
      </c>
    </row>
    <row r="2014" spans="6:10" ht="15">
      <c r="F2014" s="30">
        <v>31</v>
      </c>
      <c r="G2014" s="30">
        <v>25</v>
      </c>
      <c r="H2014" s="30">
        <v>625</v>
      </c>
      <c r="I2014" s="30">
        <f t="shared" si="60"/>
        <v>28125</v>
      </c>
      <c r="J2014" s="33">
        <f t="shared" si="61"/>
        <v>35.55555555555555</v>
      </c>
    </row>
    <row r="2015" spans="6:10" ht="15">
      <c r="F2015" s="30">
        <v>31</v>
      </c>
      <c r="G2015" s="30">
        <v>26</v>
      </c>
      <c r="H2015" s="30">
        <v>650</v>
      </c>
      <c r="I2015" s="30">
        <f t="shared" si="60"/>
        <v>29250</v>
      </c>
      <c r="J2015" s="33">
        <f t="shared" si="61"/>
        <v>34.188034188034187</v>
      </c>
    </row>
    <row r="2016" spans="6:10" ht="15">
      <c r="F2016" s="30">
        <v>31</v>
      </c>
      <c r="G2016" s="30">
        <v>27</v>
      </c>
      <c r="H2016" s="30">
        <v>675</v>
      </c>
      <c r="I2016" s="30">
        <f t="shared" si="60"/>
        <v>30375</v>
      </c>
      <c r="J2016" s="33">
        <f t="shared" si="61"/>
        <v>32.921810699588477</v>
      </c>
    </row>
    <row r="2017" spans="6:10" ht="15">
      <c r="F2017" s="30">
        <v>31</v>
      </c>
      <c r="G2017" s="30">
        <v>28</v>
      </c>
      <c r="H2017" s="30">
        <v>700</v>
      </c>
      <c r="I2017" s="30">
        <f t="shared" si="60"/>
        <v>31500</v>
      </c>
      <c r="J2017" s="33">
        <f t="shared" si="61"/>
        <v>31.746031746031743</v>
      </c>
    </row>
    <row r="2018" spans="6:10" ht="15">
      <c r="F2018" s="30">
        <v>31</v>
      </c>
      <c r="G2018" s="30">
        <v>29</v>
      </c>
      <c r="H2018" s="30">
        <v>725</v>
      </c>
      <c r="I2018" s="30">
        <f t="shared" si="60"/>
        <v>32625</v>
      </c>
      <c r="J2018" s="33">
        <f t="shared" si="61"/>
        <v>30.651340996168578</v>
      </c>
    </row>
    <row r="2019" spans="6:10" ht="15">
      <c r="F2019" s="30">
        <v>31</v>
      </c>
      <c r="G2019" s="30">
        <v>30</v>
      </c>
      <c r="H2019" s="30">
        <v>750</v>
      </c>
      <c r="I2019" s="30">
        <f t="shared" si="60"/>
        <v>33750</v>
      </c>
      <c r="J2019" s="33">
        <f t="shared" si="61"/>
        <v>29.62962962962963</v>
      </c>
    </row>
    <row r="2020" spans="6:10" ht="15">
      <c r="F2020" s="30">
        <v>31</v>
      </c>
      <c r="G2020" s="30">
        <v>31</v>
      </c>
      <c r="H2020" s="30">
        <v>775</v>
      </c>
      <c r="I2020" s="30">
        <f t="shared" si="60"/>
        <v>34875</v>
      </c>
      <c r="J2020" s="33">
        <f t="shared" si="61"/>
        <v>28.673835125448029</v>
      </c>
    </row>
    <row r="2021" spans="6:10" ht="15">
      <c r="F2021" s="30">
        <v>31</v>
      </c>
      <c r="G2021" s="30">
        <v>32</v>
      </c>
      <c r="H2021" s="30">
        <v>800</v>
      </c>
      <c r="I2021" s="30">
        <f t="shared" si="60"/>
        <v>36000</v>
      </c>
      <c r="J2021" s="33">
        <f t="shared" si="61"/>
        <v>27.777777777777779</v>
      </c>
    </row>
    <row r="2022" spans="6:10" ht="15">
      <c r="F2022" s="30">
        <v>31</v>
      </c>
      <c r="G2022" s="30">
        <v>33</v>
      </c>
      <c r="H2022" s="30">
        <v>825</v>
      </c>
      <c r="I2022" s="30">
        <f t="shared" si="60"/>
        <v>37125</v>
      </c>
      <c r="J2022" s="33">
        <f t="shared" si="61"/>
        <v>26.936026936026938</v>
      </c>
    </row>
    <row r="2023" spans="6:10" ht="15">
      <c r="F2023" s="30">
        <v>31</v>
      </c>
      <c r="G2023" s="30">
        <v>34</v>
      </c>
      <c r="H2023" s="30">
        <v>850</v>
      </c>
      <c r="I2023" s="30">
        <f t="shared" si="60"/>
        <v>38250</v>
      </c>
      <c r="J2023" s="33">
        <f t="shared" si="61"/>
        <v>26.143790849673202</v>
      </c>
    </row>
    <row r="2024" spans="6:10" ht="15">
      <c r="F2024" s="30">
        <v>31</v>
      </c>
      <c r="G2024" s="30">
        <v>35</v>
      </c>
      <c r="H2024" s="30">
        <v>875</v>
      </c>
      <c r="I2024" s="30">
        <f t="shared" si="60"/>
        <v>39375</v>
      </c>
      <c r="J2024" s="33">
        <f t="shared" si="61"/>
        <v>25.396825396825395</v>
      </c>
    </row>
    <row r="2025" spans="6:10" ht="15">
      <c r="F2025" s="30">
        <v>31</v>
      </c>
      <c r="G2025" s="30">
        <v>36</v>
      </c>
      <c r="H2025" s="30">
        <v>900</v>
      </c>
      <c r="I2025" s="30">
        <f t="shared" si="60"/>
        <v>40500</v>
      </c>
      <c r="J2025" s="33">
        <f t="shared" si="61"/>
        <v>24.691358024691358</v>
      </c>
    </row>
    <row r="2026" spans="6:10" ht="15">
      <c r="F2026" s="30">
        <v>31</v>
      </c>
      <c r="G2026" s="30">
        <v>37</v>
      </c>
      <c r="H2026" s="30">
        <v>925</v>
      </c>
      <c r="I2026" s="30">
        <f t="shared" si="60"/>
        <v>41625</v>
      </c>
      <c r="J2026" s="33">
        <f t="shared" si="61"/>
        <v>24.024024024024023</v>
      </c>
    </row>
    <row r="2027" spans="6:10" ht="15">
      <c r="F2027" s="30">
        <v>31</v>
      </c>
      <c r="G2027" s="30">
        <v>38</v>
      </c>
      <c r="H2027" s="30">
        <v>950</v>
      </c>
      <c r="I2027" s="30">
        <f t="shared" si="60"/>
        <v>42750</v>
      </c>
      <c r="J2027" s="33">
        <f t="shared" si="61"/>
        <v>23.391812865497077</v>
      </c>
    </row>
    <row r="2028" spans="6:10" ht="15">
      <c r="F2028" s="30">
        <v>31</v>
      </c>
      <c r="G2028" s="30">
        <v>39</v>
      </c>
      <c r="H2028" s="30">
        <v>975</v>
      </c>
      <c r="I2028" s="30">
        <f t="shared" si="60"/>
        <v>43875</v>
      </c>
      <c r="J2028" s="33">
        <f t="shared" si="61"/>
        <v>22.792022792022792</v>
      </c>
    </row>
    <row r="2029" spans="6:10" ht="15">
      <c r="F2029" s="30">
        <v>31</v>
      </c>
      <c r="G2029" s="30">
        <v>40</v>
      </c>
      <c r="H2029" s="30">
        <v>1000</v>
      </c>
      <c r="I2029" s="30">
        <f t="shared" si="60"/>
        <v>45000</v>
      </c>
      <c r="J2029" s="33">
        <f t="shared" si="61"/>
        <v>22.222222222222225</v>
      </c>
    </row>
    <row r="2030" spans="6:10" ht="15">
      <c r="F2030" s="30">
        <v>31</v>
      </c>
      <c r="G2030" s="30">
        <v>41</v>
      </c>
      <c r="H2030" s="30">
        <v>1025</v>
      </c>
      <c r="I2030" s="30">
        <f t="shared" si="60"/>
        <v>46125</v>
      </c>
      <c r="J2030" s="33">
        <f t="shared" si="61"/>
        <v>21.680216802168022</v>
      </c>
    </row>
    <row r="2031" spans="6:10" ht="15">
      <c r="F2031" s="30">
        <v>31</v>
      </c>
      <c r="G2031" s="30">
        <v>42</v>
      </c>
      <c r="H2031" s="30">
        <v>1050</v>
      </c>
      <c r="I2031" s="30">
        <f t="shared" si="60"/>
        <v>47250</v>
      </c>
      <c r="J2031" s="33">
        <f t="shared" si="61"/>
        <v>21.164021164021165</v>
      </c>
    </row>
    <row r="2032" spans="6:10" ht="15">
      <c r="F2032" s="30">
        <v>31</v>
      </c>
      <c r="G2032" s="30">
        <v>43</v>
      </c>
      <c r="H2032" s="30">
        <v>1075</v>
      </c>
      <c r="I2032" s="30">
        <f t="shared" si="60"/>
        <v>48375</v>
      </c>
      <c r="J2032" s="33">
        <f t="shared" si="61"/>
        <v>20.671834625322997</v>
      </c>
    </row>
    <row r="2033" spans="6:10" ht="15">
      <c r="F2033" s="30">
        <v>31</v>
      </c>
      <c r="G2033" s="30">
        <v>44</v>
      </c>
      <c r="H2033" s="30">
        <v>1100</v>
      </c>
      <c r="I2033" s="30">
        <f t="shared" si="60"/>
        <v>49500</v>
      </c>
      <c r="J2033" s="33">
        <f t="shared" si="61"/>
        <v>20.202020202020204</v>
      </c>
    </row>
    <row r="2034" spans="6:10" ht="15">
      <c r="F2034" s="30">
        <v>31</v>
      </c>
      <c r="G2034" s="30">
        <v>45</v>
      </c>
      <c r="H2034" s="30">
        <v>1125</v>
      </c>
      <c r="I2034" s="30">
        <f t="shared" si="60"/>
        <v>50625</v>
      </c>
      <c r="J2034" s="33">
        <f t="shared" si="61"/>
        <v>19.753086419753085</v>
      </c>
    </row>
    <row r="2035" spans="6:10" ht="15">
      <c r="F2035" s="30">
        <v>31</v>
      </c>
      <c r="G2035" s="30">
        <v>46</v>
      </c>
      <c r="H2035" s="30">
        <v>1150</v>
      </c>
      <c r="I2035" s="30">
        <f t="shared" si="60"/>
        <v>51750</v>
      </c>
      <c r="J2035" s="33">
        <f t="shared" si="61"/>
        <v>19.323671497584542</v>
      </c>
    </row>
    <row r="2036" spans="6:10" ht="15">
      <c r="F2036" s="30">
        <v>31</v>
      </c>
      <c r="G2036" s="30">
        <v>47</v>
      </c>
      <c r="H2036" s="30">
        <v>1175</v>
      </c>
      <c r="I2036" s="30">
        <f t="shared" si="60"/>
        <v>52875</v>
      </c>
      <c r="J2036" s="33">
        <f t="shared" si="61"/>
        <v>18.912529550827426</v>
      </c>
    </row>
    <row r="2037" spans="6:10" ht="15">
      <c r="F2037" s="30">
        <v>31</v>
      </c>
      <c r="G2037" s="30">
        <v>48</v>
      </c>
      <c r="H2037" s="30">
        <v>1200</v>
      </c>
      <c r="I2037" s="30">
        <f t="shared" si="60"/>
        <v>54000</v>
      </c>
      <c r="J2037" s="33">
        <f t="shared" si="61"/>
        <v>18.518518518518519</v>
      </c>
    </row>
    <row r="2038" spans="6:10" ht="15">
      <c r="F2038" s="30">
        <v>31</v>
      </c>
      <c r="G2038" s="30">
        <v>49</v>
      </c>
      <c r="H2038" s="30">
        <v>1225</v>
      </c>
      <c r="I2038" s="30">
        <f t="shared" si="60"/>
        <v>55125</v>
      </c>
      <c r="J2038" s="33">
        <f t="shared" si="61"/>
        <v>18.140589569160998</v>
      </c>
    </row>
    <row r="2039" spans="6:10" ht="15">
      <c r="F2039" s="30">
        <v>31</v>
      </c>
      <c r="G2039" s="30">
        <v>50</v>
      </c>
      <c r="H2039" s="30">
        <v>1250</v>
      </c>
      <c r="I2039" s="30">
        <f t="shared" si="60"/>
        <v>56250</v>
      </c>
      <c r="J2039" s="33">
        <f t="shared" si="61"/>
        <v>17.777777777777775</v>
      </c>
    </row>
    <row r="2040" spans="6:10" ht="15">
      <c r="F2040" s="30">
        <v>31</v>
      </c>
      <c r="G2040" s="30">
        <v>51</v>
      </c>
      <c r="H2040" s="30">
        <v>1275</v>
      </c>
      <c r="I2040" s="30">
        <f t="shared" si="60"/>
        <v>57375</v>
      </c>
      <c r="J2040" s="33">
        <f t="shared" si="61"/>
        <v>17.429193899782135</v>
      </c>
    </row>
    <row r="2041" spans="6:10" ht="15">
      <c r="F2041" s="30">
        <v>31</v>
      </c>
      <c r="G2041" s="30">
        <v>52</v>
      </c>
      <c r="H2041" s="30">
        <v>1300</v>
      </c>
      <c r="I2041" s="30">
        <f t="shared" si="60"/>
        <v>58500</v>
      </c>
      <c r="J2041" s="33">
        <f t="shared" si="61"/>
        <v>17.094017094017094</v>
      </c>
    </row>
    <row r="2042" spans="6:10" ht="15">
      <c r="F2042" s="30">
        <v>31</v>
      </c>
      <c r="G2042" s="30">
        <v>53</v>
      </c>
      <c r="H2042" s="30">
        <v>1325</v>
      </c>
      <c r="I2042" s="30">
        <f t="shared" si="60"/>
        <v>59625</v>
      </c>
      <c r="J2042" s="33">
        <f t="shared" si="61"/>
        <v>16.771488469601678</v>
      </c>
    </row>
    <row r="2043" spans="6:10" ht="15">
      <c r="F2043" s="30">
        <v>31</v>
      </c>
      <c r="G2043" s="30">
        <v>54</v>
      </c>
      <c r="H2043" s="30">
        <v>1350</v>
      </c>
      <c r="I2043" s="30">
        <f t="shared" si="60"/>
        <v>60750</v>
      </c>
      <c r="J2043" s="33">
        <f t="shared" si="61"/>
        <v>16.460905349794238</v>
      </c>
    </row>
    <row r="2044" spans="6:10" ht="15">
      <c r="F2044" s="30">
        <v>31</v>
      </c>
      <c r="G2044" s="30">
        <v>55</v>
      </c>
      <c r="H2044" s="30">
        <v>1375</v>
      </c>
      <c r="I2044" s="30">
        <f t="shared" si="60"/>
        <v>61875</v>
      </c>
      <c r="J2044" s="33">
        <f t="shared" si="61"/>
        <v>16.161616161616163</v>
      </c>
    </row>
    <row r="2045" spans="6:10" ht="15">
      <c r="F2045" s="30">
        <v>31</v>
      </c>
      <c r="G2045" s="30">
        <v>56</v>
      </c>
      <c r="H2045" s="30">
        <v>1400</v>
      </c>
      <c r="I2045" s="30">
        <f t="shared" si="60"/>
        <v>63000</v>
      </c>
      <c r="J2045" s="33">
        <f t="shared" si="61"/>
        <v>15.873015873015872</v>
      </c>
    </row>
    <row r="2046" spans="6:10" ht="15">
      <c r="F2046" s="30">
        <v>31</v>
      </c>
      <c r="G2046" s="30">
        <v>57</v>
      </c>
      <c r="H2046" s="30">
        <v>1425</v>
      </c>
      <c r="I2046" s="30">
        <f t="shared" si="60"/>
        <v>64125</v>
      </c>
      <c r="J2046" s="33">
        <f t="shared" si="61"/>
        <v>15.594541910331383</v>
      </c>
    </row>
    <row r="2047" spans="6:10" ht="15">
      <c r="F2047" s="30">
        <v>31</v>
      </c>
      <c r="G2047" s="30">
        <v>58</v>
      </c>
      <c r="H2047" s="30">
        <v>1450</v>
      </c>
      <c r="I2047" s="30">
        <f t="shared" si="60"/>
        <v>65250</v>
      </c>
      <c r="J2047" s="33">
        <f t="shared" si="61"/>
        <v>15.325670498084289</v>
      </c>
    </row>
    <row r="2048" spans="6:10" ht="15">
      <c r="F2048" s="30">
        <v>31</v>
      </c>
      <c r="G2048" s="30">
        <v>59</v>
      </c>
      <c r="H2048" s="30">
        <v>1475</v>
      </c>
      <c r="I2048" s="30">
        <f t="shared" si="60"/>
        <v>66375</v>
      </c>
      <c r="J2048" s="33">
        <f t="shared" si="61"/>
        <v>15.065913370998116</v>
      </c>
    </row>
    <row r="2049" spans="6:10" ht="15">
      <c r="F2049" s="30">
        <v>31</v>
      </c>
      <c r="G2049" s="30">
        <v>60</v>
      </c>
      <c r="H2049" s="30">
        <v>1500</v>
      </c>
      <c r="I2049" s="30">
        <f t="shared" si="60"/>
        <v>67500</v>
      </c>
      <c r="J2049" s="33">
        <f t="shared" si="61"/>
        <v>14.814814814814815</v>
      </c>
    </row>
    <row r="2050" spans="6:10" ht="15">
      <c r="F2050" s="30">
        <v>31</v>
      </c>
      <c r="G2050" s="30">
        <v>61</v>
      </c>
      <c r="H2050" s="30">
        <v>1525</v>
      </c>
      <c r="I2050" s="30">
        <f t="shared" si="60"/>
        <v>68625</v>
      </c>
      <c r="J2050" s="33">
        <f t="shared" si="61"/>
        <v>14.571948998178506</v>
      </c>
    </row>
    <row r="2051" spans="6:10" ht="15">
      <c r="F2051" s="30">
        <v>31</v>
      </c>
      <c r="G2051" s="30">
        <v>62</v>
      </c>
      <c r="H2051" s="30">
        <v>1550</v>
      </c>
      <c r="I2051" s="30">
        <f t="shared" si="60"/>
        <v>69750</v>
      </c>
      <c r="J2051" s="33">
        <f t="shared" si="61"/>
        <v>14.336917562724015</v>
      </c>
    </row>
    <row r="2052" spans="6:10" ht="15">
      <c r="F2052" s="30">
        <v>31</v>
      </c>
      <c r="G2052" s="30">
        <v>63</v>
      </c>
      <c r="H2052" s="30">
        <v>1575</v>
      </c>
      <c r="I2052" s="30">
        <f t="shared" si="60"/>
        <v>70875</v>
      </c>
      <c r="J2052" s="33">
        <f t="shared" si="61"/>
        <v>14.109347442680777</v>
      </c>
    </row>
    <row r="2053" spans="6:10" ht="15">
      <c r="F2053" s="30">
        <v>31</v>
      </c>
      <c r="G2053" s="30">
        <v>64</v>
      </c>
      <c r="H2053" s="30">
        <v>1600</v>
      </c>
      <c r="I2053" s="30">
        <f t="shared" si="60"/>
        <v>72000</v>
      </c>
      <c r="J2053" s="33">
        <f t="shared" si="61"/>
        <v>13.888888888888889</v>
      </c>
    </row>
  </sheetData>
  <autoFilter ref="C5:J5"/>
  <conditionalFormatting sqref="D1:D1048576">
    <cfRule type="expression" dxfId="2" priority="2">
      <formula>COUNTIF($J:$J,$A:$A )</formula>
    </cfRule>
  </conditionalFormatting>
  <conditionalFormatting sqref="J1:J1048576">
    <cfRule type="cellIs" dxfId="0" priority="1" operator="equal">
      <formula>12.5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ulateADCrates">
                <anchor moveWithCells="1" sizeWithCells="1">
                  <from>
                    <xdr:col>5</xdr:col>
                    <xdr:colOff>38100</xdr:colOff>
                    <xdr:row>0</xdr:row>
                    <xdr:rowOff>142875</xdr:rowOff>
                  </from>
                  <to>
                    <xdr:col>7</xdr:col>
                    <xdr:colOff>676275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Clocks</vt:lpstr>
      <vt:lpstr>ADC DAC Matching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Kassai</dc:creator>
  <cp:lastModifiedBy>Josef Kassai</cp:lastModifiedBy>
  <cp:revision>2</cp:revision>
  <dcterms:created xsi:type="dcterms:W3CDTF">2015-05-25T22:41:08Z</dcterms:created>
  <dcterms:modified xsi:type="dcterms:W3CDTF">2016-08-12T16:46:34Z</dcterms:modified>
</cp:coreProperties>
</file>